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Yash\Desktop\"/>
    </mc:Choice>
  </mc:AlternateContent>
  <bookViews>
    <workbookView xWindow="0" yWindow="0" windowWidth="17256" windowHeight="5112" firstSheet="4" activeTab="8"/>
  </bookViews>
  <sheets>
    <sheet name="Pivot Table 2" sheetId="6" r:id="rId1"/>
    <sheet name="Pivot Table 1" sheetId="5" r:id="rId2"/>
    <sheet name="Pivot Table 3" sheetId="7" r:id="rId3"/>
    <sheet name="Pivot Table 4" sheetId="8" r:id="rId4"/>
    <sheet name="Pivot Table 6" sheetId="11" r:id="rId5"/>
    <sheet name="Pivot Table 5" sheetId="9" r:id="rId6"/>
    <sheet name="Clean Data" sheetId="1" r:id="rId7"/>
    <sheet name="Excel Analysis" sheetId="4" r:id="rId8"/>
    <sheet name="Excel Dashboard" sheetId="2" r:id="rId9"/>
  </sheets>
  <definedNames>
    <definedName name="Slicer_Class">#N/A</definedName>
    <definedName name="Slicer_Customer_Type">#N/A</definedName>
    <definedName name="Slicer_Gender">#N/A</definedName>
  </definedNames>
  <calcPr calcId="162913"/>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2" i="4" l="1"/>
  <c r="C22" i="4"/>
  <c r="B22" i="4"/>
  <c r="D21" i="4"/>
  <c r="C21" i="4"/>
  <c r="B21" i="4"/>
  <c r="D20" i="4"/>
  <c r="C20" i="4"/>
  <c r="B20" i="4"/>
  <c r="D19" i="4"/>
  <c r="C19" i="4"/>
  <c r="B19" i="4"/>
  <c r="D11" i="4"/>
  <c r="C11" i="4"/>
  <c r="B11" i="4"/>
  <c r="D10" i="4"/>
  <c r="C10" i="4"/>
  <c r="B10" i="4"/>
  <c r="D9" i="4"/>
  <c r="C9" i="4"/>
  <c r="B9" i="4"/>
  <c r="N251" i="1"/>
  <c r="M251" i="1"/>
  <c r="I251" i="1"/>
  <c r="F251" i="1"/>
  <c r="N250" i="1"/>
  <c r="M250" i="1"/>
  <c r="I250" i="1"/>
  <c r="F250" i="1"/>
  <c r="N249" i="1"/>
  <c r="M249" i="1"/>
  <c r="I249" i="1"/>
  <c r="F249" i="1"/>
  <c r="N248" i="1"/>
  <c r="M248" i="1"/>
  <c r="I248" i="1"/>
  <c r="F248" i="1"/>
  <c r="N247" i="1"/>
  <c r="M247" i="1"/>
  <c r="I247" i="1"/>
  <c r="F247" i="1"/>
  <c r="N246" i="1"/>
  <c r="M246" i="1"/>
  <c r="I246" i="1"/>
  <c r="F246" i="1"/>
  <c r="N245" i="1"/>
  <c r="M245" i="1"/>
  <c r="I245" i="1"/>
  <c r="F245" i="1"/>
  <c r="N244" i="1"/>
  <c r="M244" i="1"/>
  <c r="I244" i="1"/>
  <c r="F244" i="1"/>
  <c r="N243" i="1"/>
  <c r="M243" i="1"/>
  <c r="I243" i="1"/>
  <c r="F243" i="1"/>
  <c r="N242" i="1"/>
  <c r="M242" i="1"/>
  <c r="I242" i="1"/>
  <c r="F242" i="1"/>
  <c r="N241" i="1"/>
  <c r="M241" i="1"/>
  <c r="I241" i="1"/>
  <c r="F241" i="1"/>
  <c r="N240" i="1"/>
  <c r="M240" i="1"/>
  <c r="I240" i="1"/>
  <c r="F240" i="1"/>
  <c r="N239" i="1"/>
  <c r="M239" i="1"/>
  <c r="I239" i="1"/>
  <c r="F239" i="1"/>
  <c r="N238" i="1"/>
  <c r="M238" i="1"/>
  <c r="I238" i="1"/>
  <c r="F238" i="1"/>
  <c r="N237" i="1"/>
  <c r="M237" i="1"/>
  <c r="I237" i="1"/>
  <c r="F237" i="1"/>
  <c r="N236" i="1"/>
  <c r="M236" i="1"/>
  <c r="I236" i="1"/>
  <c r="F236" i="1"/>
  <c r="N235" i="1"/>
  <c r="M235" i="1"/>
  <c r="I235" i="1"/>
  <c r="F235" i="1"/>
  <c r="N234" i="1"/>
  <c r="M234" i="1"/>
  <c r="I234" i="1"/>
  <c r="F234" i="1"/>
  <c r="N233" i="1"/>
  <c r="M233" i="1"/>
  <c r="I233" i="1"/>
  <c r="F233" i="1"/>
  <c r="N232" i="1"/>
  <c r="M232" i="1"/>
  <c r="I232" i="1"/>
  <c r="F232" i="1"/>
  <c r="N231" i="1"/>
  <c r="M231" i="1"/>
  <c r="I231" i="1"/>
  <c r="F231" i="1"/>
  <c r="N230" i="1"/>
  <c r="M230" i="1"/>
  <c r="I230" i="1"/>
  <c r="F230" i="1"/>
  <c r="N229" i="1"/>
  <c r="M229" i="1"/>
  <c r="I229" i="1"/>
  <c r="F229" i="1"/>
  <c r="N228" i="1"/>
  <c r="M228" i="1"/>
  <c r="I228" i="1"/>
  <c r="F228" i="1"/>
  <c r="N227" i="1"/>
  <c r="M227" i="1"/>
  <c r="I227" i="1"/>
  <c r="F227" i="1"/>
  <c r="N226" i="1"/>
  <c r="M226" i="1"/>
  <c r="I226" i="1"/>
  <c r="F226" i="1"/>
  <c r="N225" i="1"/>
  <c r="M225" i="1"/>
  <c r="I225" i="1"/>
  <c r="F225" i="1"/>
  <c r="N224" i="1"/>
  <c r="M224" i="1"/>
  <c r="I224" i="1"/>
  <c r="F224" i="1"/>
  <c r="N223" i="1"/>
  <c r="M223" i="1"/>
  <c r="I223" i="1"/>
  <c r="F223" i="1"/>
  <c r="N222" i="1"/>
  <c r="M222" i="1"/>
  <c r="I222" i="1"/>
  <c r="F222" i="1"/>
  <c r="N221" i="1"/>
  <c r="M221" i="1"/>
  <c r="I221" i="1"/>
  <c r="F221" i="1"/>
  <c r="N220" i="1"/>
  <c r="M220" i="1"/>
  <c r="I220" i="1"/>
  <c r="F220" i="1"/>
  <c r="N219" i="1"/>
  <c r="M219" i="1"/>
  <c r="I219" i="1"/>
  <c r="F219" i="1"/>
  <c r="N218" i="1"/>
  <c r="M218" i="1"/>
  <c r="I218" i="1"/>
  <c r="F218" i="1"/>
  <c r="N217" i="1"/>
  <c r="M217" i="1"/>
  <c r="I217" i="1"/>
  <c r="F217" i="1"/>
  <c r="N216" i="1"/>
  <c r="M216" i="1"/>
  <c r="I216" i="1"/>
  <c r="F216" i="1"/>
  <c r="N215" i="1"/>
  <c r="M215" i="1"/>
  <c r="I215" i="1"/>
  <c r="F215" i="1"/>
  <c r="N214" i="1"/>
  <c r="M214" i="1"/>
  <c r="I214" i="1"/>
  <c r="F214" i="1"/>
  <c r="N213" i="1"/>
  <c r="M213" i="1"/>
  <c r="I213" i="1"/>
  <c r="F213" i="1"/>
  <c r="N212" i="1"/>
  <c r="M212" i="1"/>
  <c r="I212" i="1"/>
  <c r="F212" i="1"/>
  <c r="N211" i="1"/>
  <c r="M211" i="1"/>
  <c r="I211" i="1"/>
  <c r="F211" i="1"/>
  <c r="N210" i="1"/>
  <c r="M210" i="1"/>
  <c r="I210" i="1"/>
  <c r="F210" i="1"/>
  <c r="N209" i="1"/>
  <c r="M209" i="1"/>
  <c r="I209" i="1"/>
  <c r="F209" i="1"/>
  <c r="N208" i="1"/>
  <c r="M208" i="1"/>
  <c r="I208" i="1"/>
  <c r="F208" i="1"/>
  <c r="N207" i="1"/>
  <c r="M207" i="1"/>
  <c r="I207" i="1"/>
  <c r="F207" i="1"/>
  <c r="N206" i="1"/>
  <c r="M206" i="1"/>
  <c r="I206" i="1"/>
  <c r="F206" i="1"/>
  <c r="N205" i="1"/>
  <c r="M205" i="1"/>
  <c r="I205" i="1"/>
  <c r="F205" i="1"/>
  <c r="N204" i="1"/>
  <c r="M204" i="1"/>
  <c r="I204" i="1"/>
  <c r="F204" i="1"/>
  <c r="N203" i="1"/>
  <c r="M203" i="1"/>
  <c r="I203" i="1"/>
  <c r="F203" i="1"/>
  <c r="N202" i="1"/>
  <c r="M202" i="1"/>
  <c r="I202" i="1"/>
  <c r="F202" i="1"/>
  <c r="N201" i="1"/>
  <c r="M201" i="1"/>
  <c r="I201" i="1"/>
  <c r="F201" i="1"/>
  <c r="N200" i="1"/>
  <c r="M200" i="1"/>
  <c r="I200" i="1"/>
  <c r="F200" i="1"/>
  <c r="N199" i="1"/>
  <c r="M199" i="1"/>
  <c r="I199" i="1"/>
  <c r="F199" i="1"/>
  <c r="N198" i="1"/>
  <c r="M198" i="1"/>
  <c r="I198" i="1"/>
  <c r="F198" i="1"/>
  <c r="N197" i="1"/>
  <c r="M197" i="1"/>
  <c r="I197" i="1"/>
  <c r="F197" i="1"/>
  <c r="N196" i="1"/>
  <c r="M196" i="1"/>
  <c r="I196" i="1"/>
  <c r="F196" i="1"/>
  <c r="N195" i="1"/>
  <c r="M195" i="1"/>
  <c r="I195" i="1"/>
  <c r="F195" i="1"/>
  <c r="N194" i="1"/>
  <c r="M194" i="1"/>
  <c r="I194" i="1"/>
  <c r="F194" i="1"/>
  <c r="N193" i="1"/>
  <c r="M193" i="1"/>
  <c r="I193" i="1"/>
  <c r="F193" i="1"/>
  <c r="N192" i="1"/>
  <c r="M192" i="1"/>
  <c r="I192" i="1"/>
  <c r="F192" i="1"/>
  <c r="N191" i="1"/>
  <c r="M191" i="1"/>
  <c r="I191" i="1"/>
  <c r="F191" i="1"/>
  <c r="N190" i="1"/>
  <c r="M190" i="1"/>
  <c r="I190" i="1"/>
  <c r="F190" i="1"/>
  <c r="N189" i="1"/>
  <c r="M189" i="1"/>
  <c r="I189" i="1"/>
  <c r="F189" i="1"/>
  <c r="N188" i="1"/>
  <c r="M188" i="1"/>
  <c r="I188" i="1"/>
  <c r="F188" i="1"/>
  <c r="N187" i="1"/>
  <c r="M187" i="1"/>
  <c r="I187" i="1"/>
  <c r="F187" i="1"/>
  <c r="N186" i="1"/>
  <c r="M186" i="1"/>
  <c r="I186" i="1"/>
  <c r="F186" i="1"/>
  <c r="N185" i="1"/>
  <c r="M185" i="1"/>
  <c r="I185" i="1"/>
  <c r="F185" i="1"/>
  <c r="N184" i="1"/>
  <c r="M184" i="1"/>
  <c r="I184" i="1"/>
  <c r="F184" i="1"/>
  <c r="N183" i="1"/>
  <c r="M183" i="1"/>
  <c r="I183" i="1"/>
  <c r="F183" i="1"/>
  <c r="N182" i="1"/>
  <c r="M182" i="1"/>
  <c r="I182" i="1"/>
  <c r="F182" i="1"/>
  <c r="N181" i="1"/>
  <c r="M181" i="1"/>
  <c r="I181" i="1"/>
  <c r="F181" i="1"/>
  <c r="N180" i="1"/>
  <c r="M180" i="1"/>
  <c r="I180" i="1"/>
  <c r="F180" i="1"/>
  <c r="N179" i="1"/>
  <c r="M179" i="1"/>
  <c r="I179" i="1"/>
  <c r="F179" i="1"/>
  <c r="N178" i="1"/>
  <c r="M178" i="1"/>
  <c r="I178" i="1"/>
  <c r="F178" i="1"/>
  <c r="N177" i="1"/>
  <c r="M177" i="1"/>
  <c r="I177" i="1"/>
  <c r="F177" i="1"/>
  <c r="N176" i="1"/>
  <c r="M176" i="1"/>
  <c r="I176" i="1"/>
  <c r="F176" i="1"/>
  <c r="N175" i="1"/>
  <c r="M175" i="1"/>
  <c r="I175" i="1"/>
  <c r="F175" i="1"/>
  <c r="N174" i="1"/>
  <c r="M174" i="1"/>
  <c r="I174" i="1"/>
  <c r="F174" i="1"/>
  <c r="N173" i="1"/>
  <c r="M173" i="1"/>
  <c r="I173" i="1"/>
  <c r="F173" i="1"/>
  <c r="N172" i="1"/>
  <c r="M172" i="1"/>
  <c r="I172" i="1"/>
  <c r="F172" i="1"/>
  <c r="N171" i="1"/>
  <c r="M171" i="1"/>
  <c r="I171" i="1"/>
  <c r="F171" i="1"/>
  <c r="N170" i="1"/>
  <c r="M170" i="1"/>
  <c r="I170" i="1"/>
  <c r="F170" i="1"/>
  <c r="N169" i="1"/>
  <c r="M169" i="1"/>
  <c r="I169" i="1"/>
  <c r="F169" i="1"/>
  <c r="N168" i="1"/>
  <c r="M168" i="1"/>
  <c r="I168" i="1"/>
  <c r="F168" i="1"/>
  <c r="N167" i="1"/>
  <c r="M167" i="1"/>
  <c r="I167" i="1"/>
  <c r="F167" i="1"/>
  <c r="N166" i="1"/>
  <c r="M166" i="1"/>
  <c r="I166" i="1"/>
  <c r="F166" i="1"/>
  <c r="N165" i="1"/>
  <c r="M165" i="1"/>
  <c r="I165" i="1"/>
  <c r="F165" i="1"/>
  <c r="N164" i="1"/>
  <c r="M164" i="1"/>
  <c r="I164" i="1"/>
  <c r="F164" i="1"/>
  <c r="N163" i="1"/>
  <c r="M163" i="1"/>
  <c r="I163" i="1"/>
  <c r="F163" i="1"/>
  <c r="N162" i="1"/>
  <c r="M162" i="1"/>
  <c r="I162" i="1"/>
  <c r="F162" i="1"/>
  <c r="N161" i="1"/>
  <c r="M161" i="1"/>
  <c r="I161" i="1"/>
  <c r="F161" i="1"/>
  <c r="N160" i="1"/>
  <c r="M160" i="1"/>
  <c r="I160" i="1"/>
  <c r="F160" i="1"/>
  <c r="N159" i="1"/>
  <c r="M159" i="1"/>
  <c r="I159" i="1"/>
  <c r="F159" i="1"/>
  <c r="N158" i="1"/>
  <c r="M158" i="1"/>
  <c r="I158" i="1"/>
  <c r="F158" i="1"/>
  <c r="N157" i="1"/>
  <c r="M157" i="1"/>
  <c r="I157" i="1"/>
  <c r="F157" i="1"/>
  <c r="N156" i="1"/>
  <c r="M156" i="1"/>
  <c r="I156" i="1"/>
  <c r="F156" i="1"/>
  <c r="N155" i="1"/>
  <c r="M155" i="1"/>
  <c r="I155" i="1"/>
  <c r="F155" i="1"/>
  <c r="N154" i="1"/>
  <c r="M154" i="1"/>
  <c r="I154" i="1"/>
  <c r="F154" i="1"/>
  <c r="N153" i="1"/>
  <c r="M153" i="1"/>
  <c r="I153" i="1"/>
  <c r="F153" i="1"/>
  <c r="N152" i="1"/>
  <c r="M152" i="1"/>
  <c r="I152" i="1"/>
  <c r="F152" i="1"/>
  <c r="N151" i="1"/>
  <c r="M151" i="1"/>
  <c r="I151" i="1"/>
  <c r="F151" i="1"/>
  <c r="N150" i="1"/>
  <c r="M150" i="1"/>
  <c r="I150" i="1"/>
  <c r="F150" i="1"/>
  <c r="N149" i="1"/>
  <c r="M149" i="1"/>
  <c r="I149" i="1"/>
  <c r="F149" i="1"/>
  <c r="N148" i="1"/>
  <c r="M148" i="1"/>
  <c r="I148" i="1"/>
  <c r="F148" i="1"/>
  <c r="N147" i="1"/>
  <c r="M147" i="1"/>
  <c r="I147" i="1"/>
  <c r="F147" i="1"/>
  <c r="N146" i="1"/>
  <c r="M146" i="1"/>
  <c r="I146" i="1"/>
  <c r="F146" i="1"/>
  <c r="N145" i="1"/>
  <c r="M145" i="1"/>
  <c r="I145" i="1"/>
  <c r="F145" i="1"/>
  <c r="N144" i="1"/>
  <c r="M144" i="1"/>
  <c r="I144" i="1"/>
  <c r="F144" i="1"/>
  <c r="N143" i="1"/>
  <c r="M143" i="1"/>
  <c r="I143" i="1"/>
  <c r="F143" i="1"/>
  <c r="N142" i="1"/>
  <c r="M142" i="1"/>
  <c r="I142" i="1"/>
  <c r="F142" i="1"/>
  <c r="N141" i="1"/>
  <c r="M141" i="1"/>
  <c r="I141" i="1"/>
  <c r="F141" i="1"/>
  <c r="N140" i="1"/>
  <c r="M140" i="1"/>
  <c r="I140" i="1"/>
  <c r="F140" i="1"/>
  <c r="N139" i="1"/>
  <c r="M139" i="1"/>
  <c r="I139" i="1"/>
  <c r="F139" i="1"/>
  <c r="N138" i="1"/>
  <c r="M138" i="1"/>
  <c r="I138" i="1"/>
  <c r="F138" i="1"/>
  <c r="N137" i="1"/>
  <c r="M137" i="1"/>
  <c r="I137" i="1"/>
  <c r="F137" i="1"/>
  <c r="N136" i="1"/>
  <c r="M136" i="1"/>
  <c r="I136" i="1"/>
  <c r="F136" i="1"/>
  <c r="N135" i="1"/>
  <c r="M135" i="1"/>
  <c r="I135" i="1"/>
  <c r="F135" i="1"/>
  <c r="N134" i="1"/>
  <c r="M134" i="1"/>
  <c r="I134" i="1"/>
  <c r="F134" i="1"/>
  <c r="N133" i="1"/>
  <c r="M133" i="1"/>
  <c r="I133" i="1"/>
  <c r="F133" i="1"/>
  <c r="N132" i="1"/>
  <c r="M132" i="1"/>
  <c r="I132" i="1"/>
  <c r="F132" i="1"/>
  <c r="N131" i="1"/>
  <c r="M131" i="1"/>
  <c r="I131" i="1"/>
  <c r="F131" i="1"/>
  <c r="N130" i="1"/>
  <c r="M130" i="1"/>
  <c r="I130" i="1"/>
  <c r="F130" i="1"/>
  <c r="N129" i="1"/>
  <c r="M129" i="1"/>
  <c r="I129" i="1"/>
  <c r="F129" i="1"/>
  <c r="N128" i="1"/>
  <c r="M128" i="1"/>
  <c r="I128" i="1"/>
  <c r="F128" i="1"/>
  <c r="N127" i="1"/>
  <c r="M127" i="1"/>
  <c r="I127" i="1"/>
  <c r="F127" i="1"/>
  <c r="N126" i="1"/>
  <c r="M126" i="1"/>
  <c r="I126" i="1"/>
  <c r="F126" i="1"/>
  <c r="N125" i="1"/>
  <c r="M125" i="1"/>
  <c r="I125" i="1"/>
  <c r="F125" i="1"/>
  <c r="N124" i="1"/>
  <c r="M124" i="1"/>
  <c r="I124" i="1"/>
  <c r="F124" i="1"/>
  <c r="N123" i="1"/>
  <c r="M123" i="1"/>
  <c r="I123" i="1"/>
  <c r="F123" i="1"/>
  <c r="N122" i="1"/>
  <c r="M122" i="1"/>
  <c r="I122" i="1"/>
  <c r="F122" i="1"/>
  <c r="N121" i="1"/>
  <c r="M121" i="1"/>
  <c r="I121" i="1"/>
  <c r="F121" i="1"/>
  <c r="N120" i="1"/>
  <c r="M120" i="1"/>
  <c r="I120" i="1"/>
  <c r="F120" i="1"/>
  <c r="N119" i="1"/>
  <c r="M119" i="1"/>
  <c r="I119" i="1"/>
  <c r="F119" i="1"/>
  <c r="N118" i="1"/>
  <c r="M118" i="1"/>
  <c r="I118" i="1"/>
  <c r="F118" i="1"/>
  <c r="N117" i="1"/>
  <c r="M117" i="1"/>
  <c r="I117" i="1"/>
  <c r="F117" i="1"/>
  <c r="N116" i="1"/>
  <c r="M116" i="1"/>
  <c r="I116" i="1"/>
  <c r="F116" i="1"/>
  <c r="N115" i="1"/>
  <c r="M115" i="1"/>
  <c r="I115" i="1"/>
  <c r="F115" i="1"/>
  <c r="N114" i="1"/>
  <c r="M114" i="1"/>
  <c r="I114" i="1"/>
  <c r="F114" i="1"/>
  <c r="N113" i="1"/>
  <c r="M113" i="1"/>
  <c r="I113" i="1"/>
  <c r="F113" i="1"/>
  <c r="N112" i="1"/>
  <c r="M112" i="1"/>
  <c r="I112" i="1"/>
  <c r="F112" i="1"/>
  <c r="N111" i="1"/>
  <c r="M111" i="1"/>
  <c r="I111" i="1"/>
  <c r="F111" i="1"/>
  <c r="N110" i="1"/>
  <c r="M110" i="1"/>
  <c r="I110" i="1"/>
  <c r="F110" i="1"/>
  <c r="N109" i="1"/>
  <c r="M109" i="1"/>
  <c r="I109" i="1"/>
  <c r="F109" i="1"/>
  <c r="N108" i="1"/>
  <c r="M108" i="1"/>
  <c r="I108" i="1"/>
  <c r="F108" i="1"/>
  <c r="N107" i="1"/>
  <c r="M107" i="1"/>
  <c r="I107" i="1"/>
  <c r="F107" i="1"/>
  <c r="N106" i="1"/>
  <c r="M106" i="1"/>
  <c r="I106" i="1"/>
  <c r="F106" i="1"/>
  <c r="N105" i="1"/>
  <c r="M105" i="1"/>
  <c r="I105" i="1"/>
  <c r="F105" i="1"/>
  <c r="N104" i="1"/>
  <c r="M104" i="1"/>
  <c r="I104" i="1"/>
  <c r="F104" i="1"/>
  <c r="N103" i="1"/>
  <c r="M103" i="1"/>
  <c r="I103" i="1"/>
  <c r="F103" i="1"/>
  <c r="N102" i="1"/>
  <c r="M102" i="1"/>
  <c r="I102" i="1"/>
  <c r="F102" i="1"/>
  <c r="N101" i="1"/>
  <c r="M101" i="1"/>
  <c r="I101" i="1"/>
  <c r="F101" i="1"/>
  <c r="N100" i="1"/>
  <c r="M100" i="1"/>
  <c r="I100" i="1"/>
  <c r="F100" i="1"/>
  <c r="N99" i="1"/>
  <c r="M99" i="1"/>
  <c r="I99" i="1"/>
  <c r="F99" i="1"/>
  <c r="N98" i="1"/>
  <c r="M98" i="1"/>
  <c r="I98" i="1"/>
  <c r="F98" i="1"/>
  <c r="N97" i="1"/>
  <c r="M97" i="1"/>
  <c r="I97" i="1"/>
  <c r="F97" i="1"/>
  <c r="N96" i="1"/>
  <c r="M96" i="1"/>
  <c r="I96" i="1"/>
  <c r="F96" i="1"/>
  <c r="N95" i="1"/>
  <c r="M95" i="1"/>
  <c r="I95" i="1"/>
  <c r="F95" i="1"/>
  <c r="N94" i="1"/>
  <c r="M94" i="1"/>
  <c r="I94" i="1"/>
  <c r="F94" i="1"/>
  <c r="N93" i="1"/>
  <c r="M93" i="1"/>
  <c r="I93" i="1"/>
  <c r="F93" i="1"/>
  <c r="N92" i="1"/>
  <c r="M92" i="1"/>
  <c r="I92" i="1"/>
  <c r="F92" i="1"/>
  <c r="N91" i="1"/>
  <c r="M91" i="1"/>
  <c r="I91" i="1"/>
  <c r="F91" i="1"/>
  <c r="N90" i="1"/>
  <c r="M90" i="1"/>
  <c r="I90" i="1"/>
  <c r="F90" i="1"/>
  <c r="N89" i="1"/>
  <c r="M89" i="1"/>
  <c r="I89" i="1"/>
  <c r="F89" i="1"/>
  <c r="N88" i="1"/>
  <c r="M88" i="1"/>
  <c r="I88" i="1"/>
  <c r="F88" i="1"/>
  <c r="N87" i="1"/>
  <c r="M87" i="1"/>
  <c r="I87" i="1"/>
  <c r="F87" i="1"/>
  <c r="N86" i="1"/>
  <c r="M86" i="1"/>
  <c r="I86" i="1"/>
  <c r="F86" i="1"/>
  <c r="N85" i="1"/>
  <c r="M85" i="1"/>
  <c r="I85" i="1"/>
  <c r="F85" i="1"/>
  <c r="N84" i="1"/>
  <c r="M84" i="1"/>
  <c r="I84" i="1"/>
  <c r="F84" i="1"/>
  <c r="N83" i="1"/>
  <c r="M83" i="1"/>
  <c r="I83" i="1"/>
  <c r="F83" i="1"/>
  <c r="N82" i="1"/>
  <c r="M82" i="1"/>
  <c r="I82" i="1"/>
  <c r="F82" i="1"/>
  <c r="N81" i="1"/>
  <c r="M81" i="1"/>
  <c r="I81" i="1"/>
  <c r="F81" i="1"/>
  <c r="N80" i="1"/>
  <c r="M80" i="1"/>
  <c r="I80" i="1"/>
  <c r="F80" i="1"/>
  <c r="N79" i="1"/>
  <c r="M79" i="1"/>
  <c r="I79" i="1"/>
  <c r="F79" i="1"/>
  <c r="N78" i="1"/>
  <c r="M78" i="1"/>
  <c r="I78" i="1"/>
  <c r="F78" i="1"/>
  <c r="N77" i="1"/>
  <c r="M77" i="1"/>
  <c r="I77" i="1"/>
  <c r="F77" i="1"/>
  <c r="N76" i="1"/>
  <c r="M76" i="1"/>
  <c r="I76" i="1"/>
  <c r="F76" i="1"/>
  <c r="N75" i="1"/>
  <c r="M75" i="1"/>
  <c r="I75" i="1"/>
  <c r="F75" i="1"/>
  <c r="N74" i="1"/>
  <c r="M74" i="1"/>
  <c r="I74" i="1"/>
  <c r="F74" i="1"/>
  <c r="N73" i="1"/>
  <c r="M73" i="1"/>
  <c r="I73" i="1"/>
  <c r="F73" i="1"/>
  <c r="N72" i="1"/>
  <c r="M72" i="1"/>
  <c r="I72" i="1"/>
  <c r="F72" i="1"/>
  <c r="N71" i="1"/>
  <c r="M71" i="1"/>
  <c r="I71" i="1"/>
  <c r="F71" i="1"/>
  <c r="N70" i="1"/>
  <c r="M70" i="1"/>
  <c r="I70" i="1"/>
  <c r="F70" i="1"/>
  <c r="N69" i="1"/>
  <c r="M69" i="1"/>
  <c r="I69" i="1"/>
  <c r="F69" i="1"/>
  <c r="N68" i="1"/>
  <c r="M68" i="1"/>
  <c r="I68" i="1"/>
  <c r="F68" i="1"/>
  <c r="N67" i="1"/>
  <c r="M67" i="1"/>
  <c r="I67" i="1"/>
  <c r="F67" i="1"/>
  <c r="N66" i="1"/>
  <c r="M66" i="1"/>
  <c r="I66" i="1"/>
  <c r="F66" i="1"/>
  <c r="N65" i="1"/>
  <c r="M65" i="1"/>
  <c r="I65" i="1"/>
  <c r="F65" i="1"/>
  <c r="N64" i="1"/>
  <c r="M64" i="1"/>
  <c r="I64" i="1"/>
  <c r="F64" i="1"/>
  <c r="N63" i="1"/>
  <c r="M63" i="1"/>
  <c r="I63" i="1"/>
  <c r="F63" i="1"/>
  <c r="N62" i="1"/>
  <c r="M62" i="1"/>
  <c r="I62" i="1"/>
  <c r="F62" i="1"/>
  <c r="N61" i="1"/>
  <c r="M61" i="1"/>
  <c r="I61" i="1"/>
  <c r="F61" i="1"/>
  <c r="N60" i="1"/>
  <c r="M60" i="1"/>
  <c r="I60" i="1"/>
  <c r="F60" i="1"/>
  <c r="N59" i="1"/>
  <c r="M59" i="1"/>
  <c r="I59" i="1"/>
  <c r="F59" i="1"/>
  <c r="N58" i="1"/>
  <c r="M58" i="1"/>
  <c r="I58" i="1"/>
  <c r="F58" i="1"/>
  <c r="N57" i="1"/>
  <c r="M57" i="1"/>
  <c r="I57" i="1"/>
  <c r="F57" i="1"/>
  <c r="N56" i="1"/>
  <c r="M56" i="1"/>
  <c r="I56" i="1"/>
  <c r="F56" i="1"/>
  <c r="N55" i="1"/>
  <c r="M55" i="1"/>
  <c r="I55" i="1"/>
  <c r="F55" i="1"/>
  <c r="N54" i="1"/>
  <c r="M54" i="1"/>
  <c r="I54" i="1"/>
  <c r="F54" i="1"/>
  <c r="N53" i="1"/>
  <c r="M53" i="1"/>
  <c r="I53" i="1"/>
  <c r="F53" i="1"/>
  <c r="N52" i="1"/>
  <c r="M52" i="1"/>
  <c r="I52" i="1"/>
  <c r="F52" i="1"/>
  <c r="N51" i="1"/>
  <c r="M51" i="1"/>
  <c r="I51" i="1"/>
  <c r="F51" i="1"/>
  <c r="N50" i="1"/>
  <c r="M50" i="1"/>
  <c r="I50" i="1"/>
  <c r="F50" i="1"/>
  <c r="N49" i="1"/>
  <c r="M49" i="1"/>
  <c r="I49" i="1"/>
  <c r="F49" i="1"/>
  <c r="N48" i="1"/>
  <c r="M48" i="1"/>
  <c r="I48" i="1"/>
  <c r="F48" i="1"/>
  <c r="N47" i="1"/>
  <c r="M47" i="1"/>
  <c r="I47" i="1"/>
  <c r="F47" i="1"/>
  <c r="N46" i="1"/>
  <c r="M46" i="1"/>
  <c r="I46" i="1"/>
  <c r="F46" i="1"/>
  <c r="N45" i="1"/>
  <c r="M45" i="1"/>
  <c r="I45" i="1"/>
  <c r="F45" i="1"/>
  <c r="N44" i="1"/>
  <c r="M44" i="1"/>
  <c r="I44" i="1"/>
  <c r="F44" i="1"/>
  <c r="N43" i="1"/>
  <c r="M43" i="1"/>
  <c r="I43" i="1"/>
  <c r="F43" i="1"/>
  <c r="N42" i="1"/>
  <c r="M42" i="1"/>
  <c r="I42" i="1"/>
  <c r="F42" i="1"/>
  <c r="N41" i="1"/>
  <c r="M41" i="1"/>
  <c r="I41" i="1"/>
  <c r="F41" i="1"/>
  <c r="N40" i="1"/>
  <c r="M40" i="1"/>
  <c r="I40" i="1"/>
  <c r="F40" i="1"/>
  <c r="N39" i="1"/>
  <c r="M39" i="1"/>
  <c r="I39" i="1"/>
  <c r="F39" i="1"/>
  <c r="N38" i="1"/>
  <c r="M38" i="1"/>
  <c r="I38" i="1"/>
  <c r="F38" i="1"/>
  <c r="N37" i="1"/>
  <c r="M37" i="1"/>
  <c r="I37" i="1"/>
  <c r="F37" i="1"/>
  <c r="N36" i="1"/>
  <c r="M36" i="1"/>
  <c r="I36" i="1"/>
  <c r="F36" i="1"/>
  <c r="N35" i="1"/>
  <c r="M35" i="1"/>
  <c r="I35" i="1"/>
  <c r="F35" i="1"/>
  <c r="N34" i="1"/>
  <c r="M34" i="1"/>
  <c r="I34" i="1"/>
  <c r="F34" i="1"/>
  <c r="N33" i="1"/>
  <c r="M33" i="1"/>
  <c r="I33" i="1"/>
  <c r="F33" i="1"/>
  <c r="N32" i="1"/>
  <c r="M32" i="1"/>
  <c r="I32" i="1"/>
  <c r="F32" i="1"/>
  <c r="N31" i="1"/>
  <c r="M31" i="1"/>
  <c r="I31" i="1"/>
  <c r="F31" i="1"/>
  <c r="N30" i="1"/>
  <c r="M30" i="1"/>
  <c r="I30" i="1"/>
  <c r="F30" i="1"/>
  <c r="N29" i="1"/>
  <c r="M29" i="1"/>
  <c r="I29" i="1"/>
  <c r="F29" i="1"/>
  <c r="N28" i="1"/>
  <c r="M28" i="1"/>
  <c r="I28" i="1"/>
  <c r="F28" i="1"/>
  <c r="N27" i="1"/>
  <c r="M27" i="1"/>
  <c r="I27" i="1"/>
  <c r="F27" i="1"/>
  <c r="N26" i="1"/>
  <c r="M26" i="1"/>
  <c r="I26" i="1"/>
  <c r="F26" i="1"/>
  <c r="N25" i="1"/>
  <c r="M25" i="1"/>
  <c r="I25" i="1"/>
  <c r="F25" i="1"/>
  <c r="N24" i="1"/>
  <c r="M24" i="1"/>
  <c r="I24" i="1"/>
  <c r="F24" i="1"/>
  <c r="N23" i="1"/>
  <c r="M23" i="1"/>
  <c r="I23" i="1"/>
  <c r="F23" i="1"/>
  <c r="N22" i="1"/>
  <c r="M22" i="1"/>
  <c r="I22" i="1"/>
  <c r="F22" i="1"/>
  <c r="N21" i="1"/>
  <c r="M21" i="1"/>
  <c r="I21" i="1"/>
  <c r="F21" i="1"/>
  <c r="N20" i="1"/>
  <c r="M20" i="1"/>
  <c r="I20" i="1"/>
  <c r="F20" i="1"/>
  <c r="N19" i="1"/>
  <c r="M19" i="1"/>
  <c r="I19" i="1"/>
  <c r="F19" i="1"/>
  <c r="N18" i="1"/>
  <c r="M18" i="1"/>
  <c r="I18" i="1"/>
  <c r="F18" i="1"/>
  <c r="N17" i="1"/>
  <c r="M17" i="1"/>
  <c r="I17" i="1"/>
  <c r="F17" i="1"/>
  <c r="N16" i="1"/>
  <c r="M16" i="1"/>
  <c r="I16" i="1"/>
  <c r="F16" i="1"/>
  <c r="N15" i="1"/>
  <c r="M15" i="1"/>
  <c r="I15" i="1"/>
  <c r="F15" i="1"/>
  <c r="N14" i="1"/>
  <c r="M14" i="1"/>
  <c r="I14" i="1"/>
  <c r="F14" i="1"/>
  <c r="N13" i="1"/>
  <c r="M13" i="1"/>
  <c r="I13" i="1"/>
  <c r="F13" i="1"/>
  <c r="N12" i="1"/>
  <c r="M12" i="1"/>
  <c r="I12" i="1"/>
  <c r="F12" i="1"/>
  <c r="N11" i="1"/>
  <c r="M11" i="1"/>
  <c r="I11" i="1"/>
  <c r="F11" i="1"/>
  <c r="N10" i="1"/>
  <c r="M10" i="1"/>
  <c r="I10" i="1"/>
  <c r="F10" i="1"/>
  <c r="N9" i="1"/>
  <c r="M9" i="1"/>
  <c r="I9" i="1"/>
  <c r="F9" i="1"/>
  <c r="N8" i="1"/>
  <c r="M8" i="1"/>
  <c r="I8" i="1"/>
  <c r="F8" i="1"/>
  <c r="N7" i="1"/>
  <c r="M7" i="1"/>
  <c r="I7" i="1"/>
  <c r="F7" i="1"/>
  <c r="N6" i="1"/>
  <c r="M6" i="1"/>
  <c r="I6" i="1"/>
  <c r="F6" i="1"/>
  <c r="N5" i="1"/>
  <c r="M5" i="1"/>
  <c r="I5" i="1"/>
  <c r="F5" i="1"/>
  <c r="N4" i="1"/>
  <c r="M4" i="1"/>
  <c r="I4" i="1"/>
  <c r="F4" i="1"/>
  <c r="N3" i="1"/>
  <c r="M3" i="1"/>
  <c r="I3" i="1"/>
  <c r="F3" i="1"/>
  <c r="N2" i="1"/>
  <c r="M2" i="1"/>
  <c r="I2" i="1"/>
  <c r="F2" i="1"/>
</calcChain>
</file>

<file path=xl/sharedStrings.xml><?xml version="1.0" encoding="utf-8"?>
<sst xmlns="http://schemas.openxmlformats.org/spreadsheetml/2006/main" count="1073" uniqueCount="39">
  <si>
    <t>id</t>
  </si>
  <si>
    <t>Gender</t>
  </si>
  <si>
    <t>Customer Type</t>
  </si>
  <si>
    <t>Class</t>
  </si>
  <si>
    <t>Flight Distance</t>
  </si>
  <si>
    <t>Departure Delay</t>
  </si>
  <si>
    <t>Arrival Delay</t>
  </si>
  <si>
    <t>Seat Comfort</t>
  </si>
  <si>
    <t>Inflight Service</t>
  </si>
  <si>
    <t>Cleanliness</t>
  </si>
  <si>
    <t>Satisfaction</t>
  </si>
  <si>
    <t>Male</t>
  </si>
  <si>
    <t>Disloyal</t>
  </si>
  <si>
    <t>Eco</t>
  </si>
  <si>
    <t>Neutral or Dissatisfied</t>
  </si>
  <si>
    <t>Business</t>
  </si>
  <si>
    <t>Satisfied</t>
  </si>
  <si>
    <t>Female</t>
  </si>
  <si>
    <t>Loyal</t>
  </si>
  <si>
    <t>Eco Plus</t>
  </si>
  <si>
    <t>Rating</t>
  </si>
  <si>
    <t>Clean Arrival Delay</t>
  </si>
  <si>
    <t>Label</t>
  </si>
  <si>
    <t>Distance Band</t>
  </si>
  <si>
    <t>Total Passenger</t>
  </si>
  <si>
    <t>Satisfaction %</t>
  </si>
  <si>
    <t>Satisfaction%</t>
  </si>
  <si>
    <t>Satisfied by the Customer Type</t>
  </si>
  <si>
    <t>Total</t>
  </si>
  <si>
    <t>Row Labels</t>
  </si>
  <si>
    <t>Grand Total</t>
  </si>
  <si>
    <t>Column Labels</t>
  </si>
  <si>
    <t>Count of Satisfaction</t>
  </si>
  <si>
    <t>Count of Customer Type</t>
  </si>
  <si>
    <t>Count of Seat Comfort</t>
  </si>
  <si>
    <t>Long</t>
  </si>
  <si>
    <t>Medium</t>
  </si>
  <si>
    <t>Short</t>
  </si>
  <si>
    <t>Satisfied by the 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</si>
</sst>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sz val="11"/>
      <color theme="1"/>
      <name val="Calibri"/>
      <family val="2"/>
      <scheme val="minor"/>
    </font>
    <font>
      <b/>
      <sz val="11"/>
      <color rgb="FFFFFFFF"/>
      <name val="Arial"/>
    </font>
    <font>
      <sz val="10"/>
      <name val="Arial"/>
    </font>
    <font>
      <sz val="11"/>
      <color theme="1"/>
      <name val="Calibri"/>
      <family val="2"/>
      <scheme val="minor"/>
    </font>
    <font>
      <b/>
      <sz val="11"/>
      <color theme="1"/>
      <name val="Calibri"/>
      <family val="2"/>
      <scheme val="minor"/>
    </font>
    <font>
      <b/>
      <sz val="10"/>
      <name val="Arial"/>
      <family val="2"/>
    </font>
    <font>
      <b/>
      <u/>
      <sz val="18"/>
      <color theme="0"/>
      <name val="Arial Black"/>
      <family val="2"/>
    </font>
  </fonts>
  <fills count="6">
    <fill>
      <patternFill patternType="none"/>
    </fill>
    <fill>
      <patternFill patternType="gray125"/>
    </fill>
    <fill>
      <patternFill patternType="solid">
        <fgColor rgb="FF1F4E78"/>
      </patternFill>
    </fill>
    <fill>
      <patternFill patternType="solid">
        <fgColor theme="0"/>
        <bgColor indexed="64"/>
      </patternFill>
    </fill>
    <fill>
      <patternFill patternType="solid">
        <fgColor rgb="FF163A5F"/>
        <bgColor indexed="64"/>
      </patternFill>
    </fill>
    <fill>
      <patternFill patternType="solid">
        <fgColor rgb="FFDCEAF7"/>
        <bgColor indexed="64"/>
      </patternFill>
    </fill>
  </fills>
  <borders count="3">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44">
    <xf numFmtId="0" fontId="0" fillId="0" borderId="0" xfId="0"/>
    <xf numFmtId="0" fontId="0" fillId="3" borderId="0" xfId="0" applyFill="1"/>
    <xf numFmtId="0" fontId="0" fillId="3" borderId="0" xfId="0" applyFill="1" applyBorder="1"/>
    <xf numFmtId="1" fontId="0" fillId="0" borderId="0" xfId="0" applyNumberFormat="1"/>
    <xf numFmtId="49" fontId="0" fillId="0" borderId="0" xfId="0" applyNumberFormat="1"/>
    <xf numFmtId="1" fontId="1" fillId="2" borderId="0" xfId="0" applyNumberFormat="1" applyFont="1" applyFill="1" applyAlignment="1">
      <alignment horizontal="center" wrapText="1"/>
    </xf>
    <xf numFmtId="49" fontId="1" fillId="2" borderId="0" xfId="0" applyNumberFormat="1" applyFont="1" applyFill="1" applyAlignment="1">
      <alignment horizontal="center" wrapText="1"/>
    </xf>
    <xf numFmtId="1" fontId="2" fillId="0" borderId="0" xfId="0" applyNumberFormat="1" applyFont="1" applyAlignment="1">
      <alignment horizontal="center"/>
    </xf>
    <xf numFmtId="49" fontId="2" fillId="0" borderId="0" xfId="0" applyNumberFormat="1" applyFont="1" applyAlignment="1">
      <alignment horizontal="center"/>
    </xf>
    <xf numFmtId="1" fontId="1" fillId="2" borderId="0" xfId="0" applyNumberFormat="1" applyFont="1" applyFill="1" applyAlignment="1">
      <alignment horizontal="center" vertical="center" wrapText="1"/>
    </xf>
    <xf numFmtId="1" fontId="0" fillId="0" borderId="0" xfId="0" applyNumberFormat="1" applyAlignment="1">
      <alignment horizontal="center" vertical="center"/>
    </xf>
    <xf numFmtId="0" fontId="0" fillId="0" borderId="0" xfId="0" applyAlignment="1">
      <alignment horizontal="center" vertical="center"/>
    </xf>
    <xf numFmtId="9" fontId="0" fillId="0" borderId="0" xfId="1" applyFont="1"/>
    <xf numFmtId="0" fontId="4" fillId="0" borderId="2" xfId="0" applyFont="1" applyBorder="1" applyAlignment="1">
      <alignment horizontal="center" vertical="center"/>
    </xf>
    <xf numFmtId="0" fontId="4" fillId="0" borderId="2" xfId="0" applyFont="1" applyBorder="1" applyAlignment="1">
      <alignment horizontal="center"/>
    </xf>
    <xf numFmtId="9" fontId="4" fillId="0" borderId="2" xfId="1" applyFont="1" applyBorder="1" applyAlignment="1">
      <alignment horizontal="center" vertical="center"/>
    </xf>
    <xf numFmtId="49" fontId="5" fillId="0" borderId="2" xfId="0" applyNumberFormat="1" applyFont="1" applyBorder="1" applyAlignment="1">
      <alignment horizontal="center"/>
    </xf>
    <xf numFmtId="49" fontId="5" fillId="0" borderId="2" xfId="0" applyNumberFormat="1" applyFont="1" applyBorder="1" applyAlignment="1">
      <alignment horizontal="center" vertical="center"/>
    </xf>
    <xf numFmtId="49" fontId="5" fillId="0" borderId="0" xfId="0" applyNumberFormat="1" applyFont="1" applyBorder="1" applyAlignment="1">
      <alignment horizontal="center"/>
    </xf>
    <xf numFmtId="0" fontId="4" fillId="0" borderId="0" xfId="0" applyFont="1" applyBorder="1"/>
    <xf numFmtId="9" fontId="4" fillId="0" borderId="0" xfId="1" applyFont="1" applyBorder="1"/>
    <xf numFmtId="49" fontId="5" fillId="0" borderId="1" xfId="0" applyNumberFormat="1" applyFont="1" applyBorder="1" applyAlignment="1">
      <alignment horizontal="center"/>
    </xf>
    <xf numFmtId="164" fontId="4" fillId="0" borderId="2" xfId="1" applyNumberFormat="1" applyFont="1" applyBorder="1" applyAlignment="1">
      <alignment horizontal="center" vertical="center"/>
    </xf>
    <xf numFmtId="9" fontId="4" fillId="0" borderId="2" xfId="1" applyFont="1" applyBorder="1" applyAlignment="1">
      <alignment horizontal="center"/>
    </xf>
    <xf numFmtId="164" fontId="4" fillId="0" borderId="2" xfId="1" applyNumberFormat="1" applyFont="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1" fontId="0" fillId="0" borderId="0" xfId="0" applyNumberFormat="1" applyAlignment="1">
      <alignment horizontal="left"/>
    </xf>
    <xf numFmtId="0" fontId="0" fillId="3" borderId="2" xfId="0" applyFill="1" applyBorder="1"/>
    <xf numFmtId="0" fontId="4" fillId="0" borderId="0" xfId="0" applyFont="1" applyBorder="1" applyAlignment="1">
      <alignment horizontal="center" vertical="center"/>
    </xf>
    <xf numFmtId="0" fontId="4" fillId="0" borderId="0" xfId="0" applyFont="1" applyBorder="1" applyAlignment="1">
      <alignment horizontal="center"/>
    </xf>
    <xf numFmtId="9" fontId="4" fillId="0" borderId="0" xfId="1" applyFont="1" applyBorder="1" applyAlignment="1">
      <alignment horizontal="center" vertical="center"/>
    </xf>
    <xf numFmtId="49" fontId="5" fillId="0" borderId="0" xfId="0" applyNumberFormat="1" applyFont="1" applyBorder="1" applyAlignment="1">
      <alignment horizontal="center" vertical="center"/>
    </xf>
    <xf numFmtId="164" fontId="4" fillId="0" borderId="0" xfId="1" applyNumberFormat="1" applyFont="1" applyBorder="1" applyAlignment="1">
      <alignment horizontal="center" vertical="center"/>
    </xf>
    <xf numFmtId="0" fontId="6" fillId="5" borderId="0" xfId="0" applyFont="1" applyFill="1" applyBorder="1" applyAlignment="1">
      <alignment horizontal="center" vertical="center"/>
    </xf>
    <xf numFmtId="0" fontId="0" fillId="5" borderId="0" xfId="0" applyFill="1"/>
    <xf numFmtId="0" fontId="0" fillId="5" borderId="0" xfId="0" applyFill="1" applyBorder="1"/>
    <xf numFmtId="49" fontId="5" fillId="0" borderId="0" xfId="0" applyNumberFormat="1" applyFont="1" applyBorder="1" applyAlignment="1">
      <alignment horizontal="center"/>
    </xf>
    <xf numFmtId="49" fontId="5" fillId="0" borderId="1" xfId="0" applyNumberFormat="1" applyFont="1" applyBorder="1" applyAlignment="1">
      <alignment horizontal="center"/>
    </xf>
    <xf numFmtId="49" fontId="5" fillId="0" borderId="2" xfId="0" applyNumberFormat="1" applyFont="1" applyBorder="1" applyAlignment="1">
      <alignment horizontal="center"/>
    </xf>
    <xf numFmtId="49" fontId="2" fillId="0" borderId="2" xfId="0" applyNumberFormat="1" applyFont="1" applyBorder="1" applyAlignment="1">
      <alignment horizontal="center"/>
    </xf>
    <xf numFmtId="0" fontId="0" fillId="3" borderId="0" xfId="0" applyFill="1" applyAlignment="1">
      <alignment horizontal="center"/>
    </xf>
    <xf numFmtId="0" fontId="6" fillId="4" borderId="0" xfId="0" applyFont="1" applyFill="1" applyBorder="1" applyAlignment="1">
      <alignment horizontal="center" vertical="center"/>
    </xf>
  </cellXfs>
  <cellStyles count="2">
    <cellStyle name="Normal" xfId="0" builtinId="0"/>
    <cellStyle name="Percent" xfId="1" builtinId="5"/>
  </cellStyles>
  <dxfs count="15">
    <dxf>
      <font>
        <b val="0"/>
        <i val="0"/>
        <strike val="0"/>
        <condense val="0"/>
        <extend val="0"/>
        <outline val="0"/>
        <shadow val="0"/>
        <u val="none"/>
        <vertAlign val="baseline"/>
        <sz val="10"/>
        <color auto="1"/>
        <name val="Arial"/>
        <scheme val="none"/>
      </font>
      <numFmt numFmtId="30" formatCode="@"/>
      <alignment horizontal="center" vertical="bottom"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 formatCode="0"/>
      <alignment horizontal="center" vertical="bottom"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s>
  <tableStyles count="0" defaultTableStyle="TableStyleMedium2" defaultPivotStyle="PivotStyleLight16"/>
  <colors>
    <mruColors>
      <color rgb="FF18365D"/>
      <color rgb="FFDCEAF7"/>
      <color rgb="FF20A995"/>
      <color rgb="FFF47768"/>
      <color rgb="FFDC17E6"/>
      <color rgb="FFF3F6FA"/>
      <color rgb="FF163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(Recovered).xlsx]Pivot Table 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Satisfaction By</a:t>
            </a:r>
            <a:r>
              <a:rPr lang="en-US" baseline="0"/>
              <a:t> Class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2'!$B$3:$B$4</c:f>
              <c:strCache>
                <c:ptCount val="1"/>
                <c:pt idx="0">
                  <c:v>Neutral or Dissatisfied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2'!$A$5:$A$7</c:f>
              <c:strCache>
                <c:ptCount val="2"/>
                <c:pt idx="0">
                  <c:v>Disloyal</c:v>
                </c:pt>
                <c:pt idx="1">
                  <c:v>Loyal</c:v>
                </c:pt>
              </c:strCache>
            </c:strRef>
          </c:cat>
          <c:val>
            <c:numRef>
              <c:f>'Pivot Table 2'!$B$5:$B$7</c:f>
              <c:numCache>
                <c:formatCode>General</c:formatCode>
                <c:ptCount val="2"/>
                <c:pt idx="0">
                  <c:v>37</c:v>
                </c:pt>
                <c:pt idx="1">
                  <c:v>35</c:v>
                </c:pt>
              </c:numCache>
            </c:numRef>
          </c:val>
          <c:extLst>
            <c:ext xmlns:c16="http://schemas.microsoft.com/office/drawing/2014/chart" uri="{C3380CC4-5D6E-409C-BE32-E72D297353CC}">
              <c16:uniqueId val="{00000000-6AD2-4761-847A-F80A9CDF2054}"/>
            </c:ext>
          </c:extLst>
        </c:ser>
        <c:ser>
          <c:idx val="1"/>
          <c:order val="1"/>
          <c:tx>
            <c:strRef>
              <c:f>'Pivot Table 2'!$C$3:$C$4</c:f>
              <c:strCache>
                <c:ptCount val="1"/>
                <c:pt idx="0">
                  <c:v>Satisfied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2'!$A$5:$A$7</c:f>
              <c:strCache>
                <c:ptCount val="2"/>
                <c:pt idx="0">
                  <c:v>Disloyal</c:v>
                </c:pt>
                <c:pt idx="1">
                  <c:v>Loyal</c:v>
                </c:pt>
              </c:strCache>
            </c:strRef>
          </c:cat>
          <c:val>
            <c:numRef>
              <c:f>'Pivot Table 2'!$C$5:$C$7</c:f>
              <c:numCache>
                <c:formatCode>General</c:formatCode>
                <c:ptCount val="2"/>
                <c:pt idx="0">
                  <c:v>32</c:v>
                </c:pt>
                <c:pt idx="1">
                  <c:v>35</c:v>
                </c:pt>
              </c:numCache>
            </c:numRef>
          </c:val>
          <c:extLst>
            <c:ext xmlns:c16="http://schemas.microsoft.com/office/drawing/2014/chart" uri="{C3380CC4-5D6E-409C-BE32-E72D297353CC}">
              <c16:uniqueId val="{00000001-6AD2-4761-847A-F80A9CDF2054}"/>
            </c:ext>
          </c:extLst>
        </c:ser>
        <c:dLbls>
          <c:dLblPos val="ctr"/>
          <c:showLegendKey val="0"/>
          <c:showVal val="1"/>
          <c:showCatName val="0"/>
          <c:showSerName val="0"/>
          <c:showPercent val="0"/>
          <c:showBubbleSize val="0"/>
        </c:dLbls>
        <c:gapWidth val="150"/>
        <c:overlap val="100"/>
        <c:axId val="470303952"/>
        <c:axId val="470302312"/>
      </c:barChart>
      <c:catAx>
        <c:axId val="47030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302312"/>
        <c:crosses val="autoZero"/>
        <c:auto val="1"/>
        <c:lblAlgn val="ctr"/>
        <c:lblOffset val="100"/>
        <c:noMultiLvlLbl val="0"/>
      </c:catAx>
      <c:valAx>
        <c:axId val="470302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303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(Recovered).xlsx]Pivot Table 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Satisfaction</a:t>
            </a:r>
            <a:r>
              <a:rPr lang="en-IN" baseline="0"/>
              <a:t> By Class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'Pivot Table 1'!$B$3:$B$4</c:f>
              <c:strCache>
                <c:ptCount val="1"/>
                <c:pt idx="0">
                  <c:v>Neutral or Dissatisfied</c:v>
                </c:pt>
              </c:strCache>
            </c:strRef>
          </c:tx>
          <c:spPr>
            <a:solidFill>
              <a:schemeClr val="accent1"/>
            </a:solidFill>
            <a:ln>
              <a:noFill/>
            </a:ln>
            <a:effectLst/>
          </c:spPr>
          <c:invertIfNegative val="0"/>
          <c:cat>
            <c:strRef>
              <c:f>'Pivot Table 1'!$A$5:$A$8</c:f>
              <c:strCache>
                <c:ptCount val="3"/>
                <c:pt idx="0">
                  <c:v>Business</c:v>
                </c:pt>
                <c:pt idx="1">
                  <c:v>Eco</c:v>
                </c:pt>
                <c:pt idx="2">
                  <c:v>Eco Plus</c:v>
                </c:pt>
              </c:strCache>
            </c:strRef>
          </c:cat>
          <c:val>
            <c:numRef>
              <c:f>'Pivot Table 1'!$B$5:$B$8</c:f>
              <c:numCache>
                <c:formatCode>General</c:formatCode>
                <c:ptCount val="3"/>
                <c:pt idx="0">
                  <c:v>14</c:v>
                </c:pt>
                <c:pt idx="1">
                  <c:v>34</c:v>
                </c:pt>
                <c:pt idx="2">
                  <c:v>24</c:v>
                </c:pt>
              </c:numCache>
            </c:numRef>
          </c:val>
          <c:extLst>
            <c:ext xmlns:c16="http://schemas.microsoft.com/office/drawing/2014/chart" uri="{C3380CC4-5D6E-409C-BE32-E72D297353CC}">
              <c16:uniqueId val="{00000000-FE9B-4098-BC4D-1AF02C5A98D3}"/>
            </c:ext>
          </c:extLst>
        </c:ser>
        <c:ser>
          <c:idx val="1"/>
          <c:order val="1"/>
          <c:tx>
            <c:strRef>
              <c:f>'Pivot Table 1'!$C$3:$C$4</c:f>
              <c:strCache>
                <c:ptCount val="1"/>
                <c:pt idx="0">
                  <c:v>Satisfied</c:v>
                </c:pt>
              </c:strCache>
            </c:strRef>
          </c:tx>
          <c:spPr>
            <a:solidFill>
              <a:schemeClr val="accent2"/>
            </a:solidFill>
            <a:ln>
              <a:noFill/>
            </a:ln>
            <a:effectLst/>
          </c:spPr>
          <c:invertIfNegative val="0"/>
          <c:cat>
            <c:strRef>
              <c:f>'Pivot Table 1'!$A$5:$A$8</c:f>
              <c:strCache>
                <c:ptCount val="3"/>
                <c:pt idx="0">
                  <c:v>Business</c:v>
                </c:pt>
                <c:pt idx="1">
                  <c:v>Eco</c:v>
                </c:pt>
                <c:pt idx="2">
                  <c:v>Eco Plus</c:v>
                </c:pt>
              </c:strCache>
            </c:strRef>
          </c:cat>
          <c:val>
            <c:numRef>
              <c:f>'Pivot Table 1'!$C$5:$C$8</c:f>
              <c:numCache>
                <c:formatCode>General</c:formatCode>
                <c:ptCount val="3"/>
                <c:pt idx="0">
                  <c:v>26</c:v>
                </c:pt>
                <c:pt idx="1">
                  <c:v>24</c:v>
                </c:pt>
                <c:pt idx="2">
                  <c:v>17</c:v>
                </c:pt>
              </c:numCache>
            </c:numRef>
          </c:val>
          <c:extLst>
            <c:ext xmlns:c16="http://schemas.microsoft.com/office/drawing/2014/chart" uri="{C3380CC4-5D6E-409C-BE32-E72D297353CC}">
              <c16:uniqueId val="{00000000-CA7B-4B3D-8E4B-46A646E76C7D}"/>
            </c:ext>
          </c:extLst>
        </c:ser>
        <c:dLbls>
          <c:showLegendKey val="0"/>
          <c:showVal val="0"/>
          <c:showCatName val="0"/>
          <c:showSerName val="0"/>
          <c:showPercent val="0"/>
          <c:showBubbleSize val="0"/>
        </c:dLbls>
        <c:gapWidth val="219"/>
        <c:overlap val="-27"/>
        <c:axId val="470105632"/>
        <c:axId val="470476024"/>
      </c:barChart>
      <c:catAx>
        <c:axId val="47010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476024"/>
        <c:crosses val="autoZero"/>
        <c:auto val="1"/>
        <c:lblAlgn val="ctr"/>
        <c:lblOffset val="100"/>
        <c:noMultiLvlLbl val="0"/>
      </c:catAx>
      <c:valAx>
        <c:axId val="470476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10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(Recovered).xlsx]Pivot Table 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Satisfaction</a:t>
            </a:r>
            <a:r>
              <a:rPr lang="en-IN" baseline="0"/>
              <a:t>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3'!$B$3:$B$4</c:f>
              <c:strCache>
                <c:ptCount val="1"/>
                <c:pt idx="0">
                  <c:v>Neutral or Dissatisfied</c:v>
                </c:pt>
              </c:strCache>
            </c:strRef>
          </c:tx>
          <c:spPr>
            <a:solidFill>
              <a:schemeClr val="accent1"/>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 3'!$A$5:$A$6</c:f>
              <c:strCache>
                <c:ptCount val="1"/>
                <c:pt idx="0">
                  <c:v>Male</c:v>
                </c:pt>
              </c:strCache>
            </c:strRef>
          </c:cat>
          <c:val>
            <c:numRef>
              <c:f>'Pivot Table 3'!$B$5:$B$6</c:f>
              <c:numCache>
                <c:formatCode>General</c:formatCode>
                <c:ptCount val="1"/>
                <c:pt idx="0">
                  <c:v>72</c:v>
                </c:pt>
              </c:numCache>
            </c:numRef>
          </c:val>
          <c:extLst>
            <c:ext xmlns:c16="http://schemas.microsoft.com/office/drawing/2014/chart" uri="{C3380CC4-5D6E-409C-BE32-E72D297353CC}">
              <c16:uniqueId val="{00000000-B18E-4A92-B1CE-85DDF99AAC73}"/>
            </c:ext>
          </c:extLst>
        </c:ser>
        <c:ser>
          <c:idx val="1"/>
          <c:order val="1"/>
          <c:tx>
            <c:strRef>
              <c:f>'Pivot Table 3'!$C$3:$C$4</c:f>
              <c:strCache>
                <c:ptCount val="1"/>
                <c:pt idx="0">
                  <c:v>Satisfied</c:v>
                </c:pt>
              </c:strCache>
            </c:strRef>
          </c:tx>
          <c:spPr>
            <a:solidFill>
              <a:schemeClr val="accent2"/>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 3'!$A$5:$A$6</c:f>
              <c:strCache>
                <c:ptCount val="1"/>
                <c:pt idx="0">
                  <c:v>Male</c:v>
                </c:pt>
              </c:strCache>
            </c:strRef>
          </c:cat>
          <c:val>
            <c:numRef>
              <c:f>'Pivot Table 3'!$C$5:$C$6</c:f>
              <c:numCache>
                <c:formatCode>General</c:formatCode>
                <c:ptCount val="1"/>
                <c:pt idx="0">
                  <c:v>67</c:v>
                </c:pt>
              </c:numCache>
            </c:numRef>
          </c:val>
          <c:extLst>
            <c:ext xmlns:c16="http://schemas.microsoft.com/office/drawing/2014/chart" uri="{C3380CC4-5D6E-409C-BE32-E72D297353CC}">
              <c16:uniqueId val="{00000001-B18E-4A92-B1CE-85DDF99AAC73}"/>
            </c:ext>
          </c:extLst>
        </c:ser>
        <c:dLbls>
          <c:showLegendKey val="0"/>
          <c:showVal val="0"/>
          <c:showCatName val="0"/>
          <c:showSerName val="0"/>
          <c:showPercent val="0"/>
          <c:showBubbleSize val="0"/>
        </c:dLbls>
        <c:gapWidth val="150"/>
        <c:shape val="box"/>
        <c:axId val="491256296"/>
        <c:axId val="491258592"/>
        <c:axId val="0"/>
      </c:bar3DChart>
      <c:catAx>
        <c:axId val="491256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258592"/>
        <c:crosses val="autoZero"/>
        <c:auto val="1"/>
        <c:lblAlgn val="ctr"/>
        <c:lblOffset val="100"/>
        <c:noMultiLvlLbl val="0"/>
      </c:catAx>
      <c:valAx>
        <c:axId val="491258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256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(Recovered).xlsx]Pivot Table 4!PivotTable1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Customer Type Distribution </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0185067526415994E-1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1.0185067526415994E-1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1"/>
          </a:solidFill>
          <a:ln w="19050">
            <a:solidFill>
              <a:schemeClr val="lt1"/>
            </a:solidFill>
          </a:ln>
          <a:effectLst/>
        </c:spPr>
      </c:pivotFmt>
    </c:pivotFmts>
    <c:plotArea>
      <c:layout/>
      <c:doughnutChart>
        <c:varyColors val="1"/>
        <c:ser>
          <c:idx val="0"/>
          <c:order val="0"/>
          <c:tx>
            <c:strRef>
              <c:f>'Pivot Table 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E9-49BF-9990-4778E26221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C2-4CA3-856E-49E46567295B}"/>
              </c:ext>
            </c:extLst>
          </c:dPt>
          <c:dLbls>
            <c:dLbl>
              <c:idx val="0"/>
              <c:layout>
                <c:manualLayout>
                  <c:x val="-1.0185067526415994E-16"/>
                  <c:y val="-2.777777777777777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5DE9-49BF-9990-4778E26221E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4'!$A$4:$A$6</c:f>
              <c:strCache>
                <c:ptCount val="2"/>
                <c:pt idx="0">
                  <c:v>Disloyal</c:v>
                </c:pt>
                <c:pt idx="1">
                  <c:v>Loyal</c:v>
                </c:pt>
              </c:strCache>
            </c:strRef>
          </c:cat>
          <c:val>
            <c:numRef>
              <c:f>'Pivot Table 4'!$B$4:$B$6</c:f>
              <c:numCache>
                <c:formatCode>General</c:formatCode>
                <c:ptCount val="2"/>
                <c:pt idx="0">
                  <c:v>69</c:v>
                </c:pt>
                <c:pt idx="1">
                  <c:v>70</c:v>
                </c:pt>
              </c:numCache>
            </c:numRef>
          </c:val>
          <c:extLst>
            <c:ext xmlns:c16="http://schemas.microsoft.com/office/drawing/2014/chart" uri="{C3380CC4-5D6E-409C-BE32-E72D297353CC}">
              <c16:uniqueId val="{00000000-5DE9-49BF-9990-4778E26221E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(Recovered).xlsx]Pivot Table 6!PivotTable1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Satisfaction By Flight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6'!$B$3</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6'!$A$4:$A$7</c:f>
              <c:strCache>
                <c:ptCount val="3"/>
                <c:pt idx="0">
                  <c:v>Long</c:v>
                </c:pt>
                <c:pt idx="1">
                  <c:v>Medium</c:v>
                </c:pt>
                <c:pt idx="2">
                  <c:v>Short</c:v>
                </c:pt>
              </c:strCache>
            </c:strRef>
          </c:cat>
          <c:val>
            <c:numRef>
              <c:f>'Pivot Table 6'!$B$4:$B$7</c:f>
              <c:numCache>
                <c:formatCode>General</c:formatCode>
                <c:ptCount val="3"/>
                <c:pt idx="0">
                  <c:v>74</c:v>
                </c:pt>
                <c:pt idx="1">
                  <c:v>42</c:v>
                </c:pt>
                <c:pt idx="2">
                  <c:v>23</c:v>
                </c:pt>
              </c:numCache>
            </c:numRef>
          </c:val>
          <c:extLst>
            <c:ext xmlns:c16="http://schemas.microsoft.com/office/drawing/2014/chart" uri="{C3380CC4-5D6E-409C-BE32-E72D297353CC}">
              <c16:uniqueId val="{00000009-1240-4CEA-B73C-0E87364567CF}"/>
            </c:ext>
          </c:extLst>
        </c:ser>
        <c:dLbls>
          <c:dLblPos val="ctr"/>
          <c:showLegendKey val="0"/>
          <c:showVal val="1"/>
          <c:showCatName val="0"/>
          <c:showSerName val="0"/>
          <c:showPercent val="0"/>
          <c:showBubbleSize val="0"/>
        </c:dLbls>
        <c:gapWidth val="150"/>
        <c:overlap val="100"/>
        <c:axId val="372682008"/>
        <c:axId val="372679712"/>
      </c:barChart>
      <c:catAx>
        <c:axId val="3726820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79712"/>
        <c:crosses val="autoZero"/>
        <c:auto val="1"/>
        <c:lblAlgn val="ctr"/>
        <c:lblOffset val="100"/>
        <c:noMultiLvlLbl val="0"/>
      </c:catAx>
      <c:valAx>
        <c:axId val="3726797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82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(Recovered).xlsx]Pivot Table 5!PivotTable2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Airline Service Ratings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5'!$B$3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5'!$A$4:$A$9</c:f>
              <c:strCache>
                <c:ptCount val="5"/>
                <c:pt idx="0">
                  <c:v>1</c:v>
                </c:pt>
                <c:pt idx="1">
                  <c:v>2</c:v>
                </c:pt>
                <c:pt idx="2">
                  <c:v>3</c:v>
                </c:pt>
                <c:pt idx="3">
                  <c:v>4</c:v>
                </c:pt>
                <c:pt idx="4">
                  <c:v>5</c:v>
                </c:pt>
              </c:strCache>
            </c:strRef>
          </c:cat>
          <c:val>
            <c:numRef>
              <c:f>'Pivot Table 5'!$B$4:$B$9</c:f>
              <c:numCache>
                <c:formatCode>General</c:formatCode>
                <c:ptCount val="5"/>
                <c:pt idx="0">
                  <c:v>23</c:v>
                </c:pt>
                <c:pt idx="1">
                  <c:v>30</c:v>
                </c:pt>
                <c:pt idx="2">
                  <c:v>24</c:v>
                </c:pt>
                <c:pt idx="3">
                  <c:v>27</c:v>
                </c:pt>
                <c:pt idx="4">
                  <c:v>35</c:v>
                </c:pt>
              </c:numCache>
            </c:numRef>
          </c:val>
          <c:extLst>
            <c:ext xmlns:c16="http://schemas.microsoft.com/office/drawing/2014/chart" uri="{C3380CC4-5D6E-409C-BE32-E72D297353CC}">
              <c16:uniqueId val="{00000000-D703-4B9A-8B10-68CF0548F35B}"/>
            </c:ext>
          </c:extLst>
        </c:ser>
        <c:dLbls>
          <c:dLblPos val="outEnd"/>
          <c:showLegendKey val="0"/>
          <c:showVal val="1"/>
          <c:showCatName val="0"/>
          <c:showSerName val="0"/>
          <c:showPercent val="0"/>
          <c:showBubbleSize val="0"/>
        </c:dLbls>
        <c:gapWidth val="219"/>
        <c:overlap val="-27"/>
        <c:axId val="495117032"/>
        <c:axId val="495116376"/>
      </c:barChart>
      <c:catAx>
        <c:axId val="495117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116376"/>
        <c:crosses val="autoZero"/>
        <c:auto val="1"/>
        <c:lblAlgn val="ctr"/>
        <c:lblOffset val="100"/>
        <c:noMultiLvlLbl val="0"/>
      </c:catAx>
      <c:valAx>
        <c:axId val="495116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1170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(Recovered).xlsx]Pivot Table 1!PivotTable1</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b="1" u="sng">
                <a:solidFill>
                  <a:schemeClr val="accent1">
                    <a:lumMod val="50000"/>
                  </a:schemeClr>
                </a:solidFill>
              </a:rPr>
              <a:t>Satisfaction</a:t>
            </a:r>
            <a:r>
              <a:rPr lang="en-IN" b="1" u="sng" baseline="0">
                <a:solidFill>
                  <a:schemeClr val="accent1">
                    <a:lumMod val="50000"/>
                  </a:schemeClr>
                </a:solidFill>
              </a:rPr>
              <a:t> By Class</a:t>
            </a:r>
            <a:endParaRPr lang="en-IN" b="1" u="sng">
              <a:solidFill>
                <a:schemeClr val="accent1">
                  <a:lumMod val="50000"/>
                </a:schemeClr>
              </a:solidFill>
            </a:endParaRPr>
          </a:p>
        </c:rich>
      </c:tx>
      <c:layout>
        <c:manualLayout>
          <c:xMode val="edge"/>
          <c:yMode val="edge"/>
          <c:x val="0.56274747687779647"/>
          <c:y val="5.9760221472419772E-2"/>
        </c:manualLayout>
      </c:layout>
      <c:overlay val="0"/>
      <c:spPr>
        <a:solidFill>
          <a:schemeClr val="bg1"/>
        </a:solid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pivotFmt>
      <c:pivotFmt>
        <c:idx val="3"/>
        <c:spPr>
          <a:solidFill>
            <a:schemeClr val="accent2"/>
          </a:solidFill>
          <a:ln>
            <a:noFill/>
          </a:ln>
          <a:effectLst/>
        </c:spP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rgbClr val="F477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0A99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18365D"/>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chemeClr val="accent1">
              <a:lumMod val="60000"/>
              <a:lumOff val="40000"/>
              <a:alpha val="99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6.7055524402409583E-2"/>
          <c:y val="8.7681264797334707E-2"/>
          <c:w val="0.6126913823272091"/>
          <c:h val="0.75010279965004378"/>
        </c:manualLayout>
      </c:layout>
      <c:barChart>
        <c:barDir val="col"/>
        <c:grouping val="clustered"/>
        <c:varyColors val="0"/>
        <c:ser>
          <c:idx val="0"/>
          <c:order val="0"/>
          <c:tx>
            <c:strRef>
              <c:f>'Pivot Table 1'!$B$3:$B$4</c:f>
              <c:strCache>
                <c:ptCount val="1"/>
                <c:pt idx="0">
                  <c:v>Neutral or Dissatisfied</c:v>
                </c:pt>
              </c:strCache>
            </c:strRef>
          </c:tx>
          <c:spPr>
            <a:solidFill>
              <a:schemeClr val="accent1">
                <a:lumMod val="60000"/>
                <a:lumOff val="40000"/>
                <a:alpha val="99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1'!$A$5:$A$8</c:f>
              <c:strCache>
                <c:ptCount val="3"/>
                <c:pt idx="0">
                  <c:v>Business</c:v>
                </c:pt>
                <c:pt idx="1">
                  <c:v>Eco</c:v>
                </c:pt>
                <c:pt idx="2">
                  <c:v>Eco Plus</c:v>
                </c:pt>
              </c:strCache>
            </c:strRef>
          </c:cat>
          <c:val>
            <c:numRef>
              <c:f>'Pivot Table 1'!$B$5:$B$8</c:f>
              <c:numCache>
                <c:formatCode>General</c:formatCode>
                <c:ptCount val="3"/>
                <c:pt idx="0">
                  <c:v>14</c:v>
                </c:pt>
                <c:pt idx="1">
                  <c:v>34</c:v>
                </c:pt>
                <c:pt idx="2">
                  <c:v>24</c:v>
                </c:pt>
              </c:numCache>
            </c:numRef>
          </c:val>
          <c:extLst>
            <c:ext xmlns:c16="http://schemas.microsoft.com/office/drawing/2014/chart" uri="{C3380CC4-5D6E-409C-BE32-E72D297353CC}">
              <c16:uniqueId val="{00000000-7866-41D6-96E4-4E25B0306E8B}"/>
            </c:ext>
          </c:extLst>
        </c:ser>
        <c:ser>
          <c:idx val="1"/>
          <c:order val="1"/>
          <c:tx>
            <c:strRef>
              <c:f>'Pivot Table 1'!$C$3:$C$4</c:f>
              <c:strCache>
                <c:ptCount val="1"/>
                <c:pt idx="0">
                  <c:v>Satisfied</c:v>
                </c:pt>
              </c:strCache>
            </c:strRef>
          </c:tx>
          <c:spPr>
            <a:solidFill>
              <a:srgbClr val="18365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1'!$A$5:$A$8</c:f>
              <c:strCache>
                <c:ptCount val="3"/>
                <c:pt idx="0">
                  <c:v>Business</c:v>
                </c:pt>
                <c:pt idx="1">
                  <c:v>Eco</c:v>
                </c:pt>
                <c:pt idx="2">
                  <c:v>Eco Plus</c:v>
                </c:pt>
              </c:strCache>
            </c:strRef>
          </c:cat>
          <c:val>
            <c:numRef>
              <c:f>'Pivot Table 1'!$C$5:$C$8</c:f>
              <c:numCache>
                <c:formatCode>General</c:formatCode>
                <c:ptCount val="3"/>
                <c:pt idx="0">
                  <c:v>26</c:v>
                </c:pt>
                <c:pt idx="1">
                  <c:v>24</c:v>
                </c:pt>
                <c:pt idx="2">
                  <c:v>17</c:v>
                </c:pt>
              </c:numCache>
            </c:numRef>
          </c:val>
          <c:extLst>
            <c:ext xmlns:c16="http://schemas.microsoft.com/office/drawing/2014/chart" uri="{C3380CC4-5D6E-409C-BE32-E72D297353CC}">
              <c16:uniqueId val="{00000000-621C-4254-8002-66CEF093A846}"/>
            </c:ext>
          </c:extLst>
        </c:ser>
        <c:dLbls>
          <c:dLblPos val="outEnd"/>
          <c:showLegendKey val="0"/>
          <c:showVal val="1"/>
          <c:showCatName val="0"/>
          <c:showSerName val="0"/>
          <c:showPercent val="0"/>
          <c:showBubbleSize val="0"/>
        </c:dLbls>
        <c:gapWidth val="219"/>
        <c:overlap val="-27"/>
        <c:axId val="470105632"/>
        <c:axId val="470476024"/>
      </c:barChart>
      <c:catAx>
        <c:axId val="47010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70476024"/>
        <c:crosses val="autoZero"/>
        <c:auto val="1"/>
        <c:lblAlgn val="ctr"/>
        <c:lblOffset val="100"/>
        <c:noMultiLvlLbl val="0"/>
      </c:catAx>
      <c:valAx>
        <c:axId val="470476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701056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ysClr val="window" lastClr="FFFFFF"/>
    </a:solidFill>
    <a:ln w="9525" cap="flat" cmpd="sng" algn="ctr">
      <a:solidFill>
        <a:schemeClr val="tx1"/>
      </a:solidFill>
      <a:round/>
    </a:ln>
    <a:effectLst>
      <a:outerShdw blurRad="127000" dist="50800" dir="5400000" algn="ctr" rotWithShape="0">
        <a:srgbClr val="000000">
          <a:alpha val="43137"/>
        </a:srgbClr>
      </a:outerShdw>
    </a:effectLst>
    <a:scene3d>
      <a:camera prst="orthographicFront"/>
      <a:lightRig rig="threePt" dir="t"/>
    </a:scene3d>
    <a:sp3d prstMaterial="metal">
      <a:bevelT w="88900" h="889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(Recovered).xlsx]Pivot Table 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chemeClr val="accent1">
                    <a:lumMod val="50000"/>
                  </a:schemeClr>
                </a:solidFill>
              </a:rPr>
              <a:t>Satisfaction By Class Type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pPr>
            <a:solidFill>
              <a:schemeClr val="accent1"/>
            </a:solidFill>
            <a:ln w="9525">
              <a:solidFill>
                <a:schemeClr val="accent1"/>
              </a:solidFill>
            </a:ln>
            <a:effectLst/>
          </c:spPr>
        </c:marker>
      </c:pivotFmt>
      <c:pivotFmt>
        <c:idx val="7"/>
        <c:spPr>
          <a:solidFill>
            <a:schemeClr val="accent1"/>
          </a:solidFill>
          <a:ln>
            <a:noFill/>
          </a:ln>
          <a:effectLst/>
        </c:spPr>
        <c:marker>
          <c:spPr>
            <a:solidFill>
              <a:schemeClr val="accent1"/>
            </a:solidFill>
            <a:ln w="9525">
              <a:solidFill>
                <a:schemeClr val="accent1"/>
              </a:solidFill>
            </a:ln>
            <a:effectLst/>
          </c:spPr>
        </c:marker>
      </c:pivotFmt>
      <c:pivotFmt>
        <c:idx val="8"/>
        <c:spPr>
          <a:solidFill>
            <a:srgbClr val="F47768"/>
          </a:solidFill>
          <a:ln>
            <a:noFill/>
          </a:ln>
          <a:effectLst/>
        </c:spPr>
        <c:marker>
          <c:symbol val="none"/>
        </c:marker>
      </c:pivotFmt>
      <c:pivotFmt>
        <c:idx val="9"/>
        <c:spPr>
          <a:solidFill>
            <a:srgbClr val="20A995"/>
          </a:solidFill>
          <a:ln>
            <a:noFill/>
          </a:ln>
          <a:effectLst/>
        </c:spPr>
        <c:marker>
          <c:symbol val="none"/>
        </c:marker>
      </c:pivotFmt>
      <c:pivotFmt>
        <c:idx val="10"/>
        <c:spPr>
          <a:solidFill>
            <a:schemeClr val="accent1">
              <a:lumMod val="60000"/>
              <a:lumOff val="4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rgbClr val="18365D"/>
          </a:solidFill>
          <a:ln>
            <a:noFill/>
          </a:ln>
          <a:effectLst/>
        </c:spPr>
        <c:marker>
          <c:symbol val="none"/>
        </c:marker>
        <c:dLbl>
          <c:idx val="0"/>
          <c:layout/>
          <c:spPr>
            <a:solidFill>
              <a:schemeClr val="bg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chemeClr val="accent1">
              <a:lumMod val="60000"/>
              <a:lumOff val="40000"/>
            </a:schemeClr>
          </a:solidFill>
          <a:ln>
            <a:noFill/>
          </a:ln>
          <a:effectLst/>
        </c:spPr>
      </c:pivotFmt>
      <c:pivotFmt>
        <c:idx val="13"/>
        <c:spPr>
          <a:solidFill>
            <a:srgbClr val="18365D"/>
          </a:solidFill>
          <a:ln>
            <a:noFill/>
          </a:ln>
          <a:effectLst/>
        </c:spPr>
        <c:dLbl>
          <c:idx val="0"/>
          <c:layout>
            <c:manualLayout>
              <c:x val="-4.3357991056987698E-2"/>
              <c:y val="-9.0214881903747119E-3"/>
            </c:manualLayout>
          </c:layout>
          <c:tx>
            <c:rich>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mn-lt"/>
                    <a:ea typeface="+mn-ea"/>
                    <a:cs typeface="+mn-cs"/>
                  </a:defRPr>
                </a:pPr>
                <a:r>
                  <a:rPr lang="en-US" sz="1200" b="1" baseline="0">
                    <a:solidFill>
                      <a:sysClr val="windowText" lastClr="000000"/>
                    </a:solidFill>
                  </a:rPr>
                  <a:t> </a:t>
                </a:r>
                <a:fld id="{C101204E-4311-4097-B3DA-86F68E18B659}" type="VALUE">
                  <a:rPr lang="en-US" sz="1200" b="1" baseline="0">
                    <a:solidFill>
                      <a:sysClr val="windowText" lastClr="000000"/>
                    </a:solidFill>
                  </a:rPr>
                  <a:pPr>
                    <a:defRPr sz="1200" b="1">
                      <a:solidFill>
                        <a:sysClr val="windowText" lastClr="000000"/>
                      </a:solidFill>
                    </a:defRPr>
                  </a:pPr>
                  <a:t>[VALUE]</a:t>
                </a:fld>
                <a:endParaRPr lang="en-US" sz="1200" b="1" baseline="0">
                  <a:solidFill>
                    <a:sysClr val="windowText" lastClr="000000"/>
                  </a:solidFill>
                </a:endParaRPr>
              </a:p>
            </c:rich>
          </c:tx>
          <c:spPr>
            <a:solidFill>
              <a:schemeClr val="bg1"/>
            </a:solidFill>
            <a:ln w="12700" cap="flat" cmpd="sng" algn="ctr">
              <a:solidFill>
                <a:schemeClr val="dk1">
                  <a:shade val="50000"/>
                </a:schemeClr>
              </a:solidFill>
              <a:prstDash val="solid"/>
              <a:miter lim="800000"/>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layout>
                <c:manualLayout>
                  <c:w val="6.0393712749895218E-2"/>
                  <c:h val="6.8509323388385723E-2"/>
                </c:manualLayout>
              </c15:layout>
              <c15:dlblFieldTable/>
              <c15:showDataLabelsRange val="0"/>
            </c:ext>
          </c:extLst>
        </c:dLbl>
      </c:pivotFmt>
    </c:pivotFmts>
    <c:plotArea>
      <c:layout>
        <c:manualLayout>
          <c:layoutTarget val="inner"/>
          <c:xMode val="edge"/>
          <c:yMode val="edge"/>
          <c:x val="0.10272598840080352"/>
          <c:y val="0.17491576498229541"/>
          <c:w val="0.56407142554693712"/>
          <c:h val="0.6167782131434022"/>
        </c:manualLayout>
      </c:layout>
      <c:barChart>
        <c:barDir val="col"/>
        <c:grouping val="stacked"/>
        <c:varyColors val="0"/>
        <c:ser>
          <c:idx val="0"/>
          <c:order val="0"/>
          <c:tx>
            <c:strRef>
              <c:f>'Pivot Table 2'!$B$3:$B$4</c:f>
              <c:strCache>
                <c:ptCount val="1"/>
                <c:pt idx="0">
                  <c:v>Neutral or Dissatisfied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2'!$A$5:$A$7</c:f>
              <c:strCache>
                <c:ptCount val="2"/>
                <c:pt idx="0">
                  <c:v>Disloyal</c:v>
                </c:pt>
                <c:pt idx="1">
                  <c:v>Loyal</c:v>
                </c:pt>
              </c:strCache>
            </c:strRef>
          </c:cat>
          <c:val>
            <c:numRef>
              <c:f>'Pivot Table 2'!$B$5:$B$7</c:f>
              <c:numCache>
                <c:formatCode>General</c:formatCode>
                <c:ptCount val="2"/>
                <c:pt idx="0">
                  <c:v>37</c:v>
                </c:pt>
                <c:pt idx="1">
                  <c:v>35</c:v>
                </c:pt>
              </c:numCache>
            </c:numRef>
          </c:val>
          <c:extLst>
            <c:ext xmlns:c16="http://schemas.microsoft.com/office/drawing/2014/chart" uri="{C3380CC4-5D6E-409C-BE32-E72D297353CC}">
              <c16:uniqueId val="{00000000-4C86-4722-AF98-B76F2B942134}"/>
            </c:ext>
          </c:extLst>
        </c:ser>
        <c:ser>
          <c:idx val="1"/>
          <c:order val="1"/>
          <c:tx>
            <c:strRef>
              <c:f>'Pivot Table 2'!$C$3:$C$4</c:f>
              <c:strCache>
                <c:ptCount val="1"/>
                <c:pt idx="0">
                  <c:v>Satisfied</c:v>
                </c:pt>
              </c:strCache>
            </c:strRef>
          </c:tx>
          <c:spPr>
            <a:solidFill>
              <a:srgbClr val="18365D"/>
            </a:solidFill>
            <a:ln>
              <a:noFill/>
            </a:ln>
            <a:effectLst/>
          </c:spPr>
          <c:invertIfNegative val="0"/>
          <c:dLbls>
            <c:dLbl>
              <c:idx val="1"/>
              <c:layout>
                <c:manualLayout>
                  <c:x val="-4.3357991056987698E-2"/>
                  <c:y val="-9.0214881903747119E-3"/>
                </c:manualLayout>
              </c:layout>
              <c:tx>
                <c:rich>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mn-lt"/>
                        <a:ea typeface="+mn-ea"/>
                        <a:cs typeface="+mn-cs"/>
                      </a:defRPr>
                    </a:pPr>
                    <a:r>
                      <a:rPr lang="en-US" sz="1200" b="1" baseline="0">
                        <a:solidFill>
                          <a:sysClr val="windowText" lastClr="000000"/>
                        </a:solidFill>
                      </a:rPr>
                      <a:t> </a:t>
                    </a:r>
                    <a:fld id="{C101204E-4311-4097-B3DA-86F68E18B659}" type="VALUE">
                      <a:rPr lang="en-US" sz="1200" b="1" baseline="0">
                        <a:solidFill>
                          <a:sysClr val="windowText" lastClr="000000"/>
                        </a:solidFill>
                      </a:rPr>
                      <a:pPr>
                        <a:defRPr sz="1200" b="1">
                          <a:solidFill>
                            <a:sysClr val="windowText" lastClr="000000"/>
                          </a:solidFill>
                        </a:defRPr>
                      </a:pPr>
                      <a:t>[VALUE]</a:t>
                    </a:fld>
                    <a:endParaRPr lang="en-US" sz="1200" b="1" baseline="0">
                      <a:solidFill>
                        <a:sysClr val="windowText" lastClr="000000"/>
                      </a:solidFill>
                    </a:endParaRPr>
                  </a:p>
                </c:rich>
              </c:tx>
              <c:spPr>
                <a:solidFill>
                  <a:schemeClr val="bg1"/>
                </a:solidFill>
                <a:ln w="12700" cap="flat" cmpd="sng" algn="ctr">
                  <a:solidFill>
                    <a:schemeClr val="dk1">
                      <a:shade val="50000"/>
                    </a:schemeClr>
                  </a:solidFill>
                  <a:prstDash val="solid"/>
                  <a:miter lim="800000"/>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layout>
                    <c:manualLayout>
                      <c:w val="6.0393712749895218E-2"/>
                      <c:h val="6.8509323388385723E-2"/>
                    </c:manualLayout>
                  </c15:layout>
                  <c15:dlblFieldTable/>
                  <c15:showDataLabelsRange val="0"/>
                </c:ext>
                <c:ext xmlns:c16="http://schemas.microsoft.com/office/drawing/2014/chart" uri="{C3380CC4-5D6E-409C-BE32-E72D297353CC}">
                  <c16:uniqueId val="{00000001-7F43-4F3D-890D-AE3A71DACF5A}"/>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'Pivot Table 2'!$A$5:$A$7</c:f>
              <c:strCache>
                <c:ptCount val="2"/>
                <c:pt idx="0">
                  <c:v>Disloyal</c:v>
                </c:pt>
                <c:pt idx="1">
                  <c:v>Loyal</c:v>
                </c:pt>
              </c:strCache>
            </c:strRef>
          </c:cat>
          <c:val>
            <c:numRef>
              <c:f>'Pivot Table 2'!$C$5:$C$7</c:f>
              <c:numCache>
                <c:formatCode>General</c:formatCode>
                <c:ptCount val="2"/>
                <c:pt idx="0">
                  <c:v>32</c:v>
                </c:pt>
                <c:pt idx="1">
                  <c:v>35</c:v>
                </c:pt>
              </c:numCache>
            </c:numRef>
          </c:val>
          <c:extLst>
            <c:ext xmlns:c16="http://schemas.microsoft.com/office/drawing/2014/chart" uri="{C3380CC4-5D6E-409C-BE32-E72D297353CC}">
              <c16:uniqueId val="{00000001-4C86-4722-AF98-B76F2B942134}"/>
            </c:ext>
          </c:extLst>
        </c:ser>
        <c:dLbls>
          <c:dLblPos val="ctr"/>
          <c:showLegendKey val="0"/>
          <c:showVal val="1"/>
          <c:showCatName val="0"/>
          <c:showSerName val="0"/>
          <c:showPercent val="0"/>
          <c:showBubbleSize val="0"/>
        </c:dLbls>
        <c:gapWidth val="150"/>
        <c:overlap val="100"/>
        <c:axId val="470303952"/>
        <c:axId val="470302312"/>
      </c:barChart>
      <c:catAx>
        <c:axId val="47030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470302312"/>
        <c:crosses val="autoZero"/>
        <c:auto val="1"/>
        <c:lblAlgn val="ctr"/>
        <c:lblOffset val="100"/>
        <c:noMultiLvlLbl val="0"/>
      </c:catAx>
      <c:valAx>
        <c:axId val="470302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70303952"/>
        <c:crosses val="autoZero"/>
        <c:crossBetween val="between"/>
      </c:valAx>
      <c:spPr>
        <a:noFill/>
        <a:ln>
          <a:noFill/>
        </a:ln>
        <a:effectLst/>
      </c:spPr>
    </c:plotArea>
    <c:legend>
      <c:legendPos val="r"/>
      <c:layout>
        <c:manualLayout>
          <c:xMode val="edge"/>
          <c:yMode val="edge"/>
          <c:x val="0.71259656987569786"/>
          <c:y val="0.44339948812063412"/>
          <c:w val="0.27350540824466135"/>
          <c:h val="0.2551629099217802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ysClr val="window" lastClr="FFFFFF"/>
    </a:solidFill>
    <a:ln w="9525" cap="flat" cmpd="sng" algn="ctr">
      <a:solidFill>
        <a:schemeClr val="tx1"/>
      </a:solidFill>
      <a:round/>
    </a:ln>
    <a:effectLst>
      <a:outerShdw blurRad="50800" dist="38100" algn="l" rotWithShape="0">
        <a:prstClr val="black">
          <a:alpha val="40000"/>
        </a:prstClr>
      </a:outerShdw>
      <a:softEdge rad="0"/>
    </a:effectLst>
    <a:scene3d>
      <a:camera prst="orthographicFront"/>
      <a:lightRig rig="threePt" dir="t"/>
    </a:scene3d>
    <a:sp3d prstMaterial="metal">
      <a:bevelT w="88900" h="889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(Recovered).xlsx]Pivot Table 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solidFill>
                  <a:schemeClr val="accent1">
                    <a:lumMod val="50000"/>
                  </a:schemeClr>
                </a:solidFill>
              </a:rPr>
              <a:t>Satisfaction</a:t>
            </a:r>
            <a:r>
              <a:rPr lang="en-IN" b="1" u="sng" baseline="0">
                <a:solidFill>
                  <a:schemeClr val="accent1">
                    <a:lumMod val="50000"/>
                  </a:schemeClr>
                </a:solidFill>
              </a:rPr>
              <a:t> By </a:t>
            </a:r>
            <a:r>
              <a:rPr lang="en-IN" sz="1400" b="1" i="0" u="sng" strike="noStrike" kern="1200" spc="0" baseline="0">
                <a:solidFill>
                  <a:schemeClr val="accent1">
                    <a:lumMod val="50000"/>
                  </a:schemeClr>
                </a:solidFill>
                <a:latin typeface="+mn-lt"/>
                <a:ea typeface="+mn-ea"/>
                <a:cs typeface="+mn-cs"/>
              </a:rPr>
              <a:t>Gender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F47768"/>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20A995"/>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8365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a:noFill/>
          </a:ln>
          <a:effectLst/>
          <a:sp3d/>
        </c:spPr>
        <c:dLbl>
          <c:idx val="0"/>
          <c:layout>
            <c:manualLayout>
              <c:x val="1.917183288976455E-2"/>
              <c:y val="-7.503717392802865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18365D"/>
          </a:solidFill>
          <a:ln>
            <a:noFill/>
          </a:ln>
          <a:effectLst/>
          <a:sp3d/>
        </c:spPr>
        <c:dLbl>
          <c:idx val="0"/>
          <c:layout>
            <c:manualLayout>
              <c:x val="4.1082499049495465E-2"/>
              <c:y val="-8.337463769780961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9643983091873654E-2"/>
          <c:y val="0.16602014920221136"/>
          <c:w val="0.5948732485364624"/>
          <c:h val="0.67649385938316731"/>
        </c:manualLayout>
      </c:layout>
      <c:bar3DChart>
        <c:barDir val="col"/>
        <c:grouping val="clustered"/>
        <c:varyColors val="0"/>
        <c:ser>
          <c:idx val="0"/>
          <c:order val="0"/>
          <c:tx>
            <c:strRef>
              <c:f>'Pivot Table 3'!$B$3:$B$4</c:f>
              <c:strCache>
                <c:ptCount val="1"/>
                <c:pt idx="0">
                  <c:v>Neutral or Dissatisfied</c:v>
                </c:pt>
              </c:strCache>
            </c:strRef>
          </c:tx>
          <c:spPr>
            <a:solidFill>
              <a:schemeClr val="accent1">
                <a:lumMod val="60000"/>
                <a:lumOff val="40000"/>
              </a:schemeClr>
            </a:solidFill>
            <a:ln>
              <a:noFill/>
            </a:ln>
            <a:effectLst/>
            <a:sp3d/>
          </c:spPr>
          <c:invertIfNegative val="0"/>
          <c:dPt>
            <c:idx val="0"/>
            <c:invertIfNegative val="0"/>
            <c:bubble3D val="0"/>
            <c:spPr>
              <a:solidFill>
                <a:schemeClr val="accent1">
                  <a:lumMod val="60000"/>
                  <a:lumOff val="40000"/>
                </a:schemeClr>
              </a:solidFill>
              <a:ln>
                <a:noFill/>
              </a:ln>
              <a:effectLst/>
              <a:sp3d/>
            </c:spPr>
            <c:extLst>
              <c:ext xmlns:c16="http://schemas.microsoft.com/office/drawing/2014/chart" uri="{C3380CC4-5D6E-409C-BE32-E72D297353CC}">
                <c16:uniqueId val="{00000000-24E6-40D4-8979-A2DDE5659745}"/>
              </c:ext>
            </c:extLst>
          </c:dPt>
          <c:dLbls>
            <c:dLbl>
              <c:idx val="0"/>
              <c:layout>
                <c:manualLayout>
                  <c:x val="1.917183288976455E-2"/>
                  <c:y val="-7.5037173928028653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24E6-40D4-8979-A2DDE565974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3'!$A$5:$A$6</c:f>
              <c:strCache>
                <c:ptCount val="1"/>
                <c:pt idx="0">
                  <c:v>Male</c:v>
                </c:pt>
              </c:strCache>
            </c:strRef>
          </c:cat>
          <c:val>
            <c:numRef>
              <c:f>'Pivot Table 3'!$B$5:$B$6</c:f>
              <c:numCache>
                <c:formatCode>General</c:formatCode>
                <c:ptCount val="1"/>
                <c:pt idx="0">
                  <c:v>72</c:v>
                </c:pt>
              </c:numCache>
            </c:numRef>
          </c:val>
          <c:extLst>
            <c:ext xmlns:c16="http://schemas.microsoft.com/office/drawing/2014/chart" uri="{C3380CC4-5D6E-409C-BE32-E72D297353CC}">
              <c16:uniqueId val="{00000000-7DAC-4F71-B49E-EBF02D65522D}"/>
            </c:ext>
          </c:extLst>
        </c:ser>
        <c:ser>
          <c:idx val="1"/>
          <c:order val="1"/>
          <c:tx>
            <c:strRef>
              <c:f>'Pivot Table 3'!$C$3:$C$4</c:f>
              <c:strCache>
                <c:ptCount val="1"/>
                <c:pt idx="0">
                  <c:v>Satisfied</c:v>
                </c:pt>
              </c:strCache>
            </c:strRef>
          </c:tx>
          <c:spPr>
            <a:solidFill>
              <a:srgbClr val="18365D"/>
            </a:solidFill>
            <a:ln>
              <a:noFill/>
            </a:ln>
            <a:effectLst/>
            <a:sp3d/>
          </c:spPr>
          <c:invertIfNegative val="0"/>
          <c:dPt>
            <c:idx val="0"/>
            <c:invertIfNegative val="0"/>
            <c:bubble3D val="0"/>
            <c:spPr>
              <a:solidFill>
                <a:srgbClr val="18365D"/>
              </a:solidFill>
              <a:ln>
                <a:noFill/>
              </a:ln>
              <a:effectLst/>
              <a:sp3d/>
            </c:spPr>
            <c:extLst>
              <c:ext xmlns:c16="http://schemas.microsoft.com/office/drawing/2014/chart" uri="{C3380CC4-5D6E-409C-BE32-E72D297353CC}">
                <c16:uniqueId val="{00000001-24E6-40D4-8979-A2DDE5659745}"/>
              </c:ext>
            </c:extLst>
          </c:dPt>
          <c:dLbls>
            <c:dLbl>
              <c:idx val="0"/>
              <c:layout>
                <c:manualLayout>
                  <c:x val="4.1082499049495465E-2"/>
                  <c:y val="-8.3374637697809617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24E6-40D4-8979-A2DDE565974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3'!$A$5:$A$6</c:f>
              <c:strCache>
                <c:ptCount val="1"/>
                <c:pt idx="0">
                  <c:v>Male</c:v>
                </c:pt>
              </c:strCache>
            </c:strRef>
          </c:cat>
          <c:val>
            <c:numRef>
              <c:f>'Pivot Table 3'!$C$5:$C$6</c:f>
              <c:numCache>
                <c:formatCode>General</c:formatCode>
                <c:ptCount val="1"/>
                <c:pt idx="0">
                  <c:v>67</c:v>
                </c:pt>
              </c:numCache>
            </c:numRef>
          </c:val>
          <c:extLst>
            <c:ext xmlns:c16="http://schemas.microsoft.com/office/drawing/2014/chart" uri="{C3380CC4-5D6E-409C-BE32-E72D297353CC}">
              <c16:uniqueId val="{00000001-7DAC-4F71-B49E-EBF02D65522D}"/>
            </c:ext>
          </c:extLst>
        </c:ser>
        <c:dLbls>
          <c:showLegendKey val="0"/>
          <c:showVal val="1"/>
          <c:showCatName val="0"/>
          <c:showSerName val="0"/>
          <c:showPercent val="0"/>
          <c:showBubbleSize val="0"/>
        </c:dLbls>
        <c:gapWidth val="150"/>
        <c:shape val="box"/>
        <c:axId val="491256296"/>
        <c:axId val="491258592"/>
        <c:axId val="0"/>
      </c:bar3DChart>
      <c:catAx>
        <c:axId val="491256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91258592"/>
        <c:crosses val="autoZero"/>
        <c:auto val="1"/>
        <c:lblAlgn val="ctr"/>
        <c:lblOffset val="100"/>
        <c:noMultiLvlLbl val="0"/>
      </c:catAx>
      <c:valAx>
        <c:axId val="491258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91256296"/>
        <c:crosses val="autoZero"/>
        <c:crossBetween val="between"/>
      </c:valAx>
      <c:spPr>
        <a:solidFill>
          <a:sysClr val="window" lastClr="FFFFFF"/>
        </a:solidFill>
        <a:ln>
          <a:noFill/>
        </a:ln>
        <a:effectLst/>
      </c:spPr>
    </c:plotArea>
    <c:legend>
      <c:legendPos val="r"/>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ysClr val="window" lastClr="FFFFFF"/>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(Recovered).xlsx]Pivot Table 4!PivotTable1</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Type Distribution </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1.0185067526415994E-16"/>
              <c:y val="-2.7777777777777776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dLbl>
          <c:idx val="0"/>
          <c:layout>
            <c:manualLayout>
              <c:x val="-1.0185067526415994E-16"/>
              <c:y val="-2.7777777777777776E-2"/>
            </c:manualLayout>
          </c:layout>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dLbl>
          <c:idx val="0"/>
          <c:layout>
            <c:manualLayout>
              <c:x val="-1.0185067526415994E-16"/>
              <c:y val="-2.7777777777777776E-2"/>
            </c:manualLayout>
          </c:layout>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dLbl>
          <c:idx val="0"/>
          <c:showLegendKey val="0"/>
          <c:showVal val="1"/>
          <c:showCatName val="0"/>
          <c:showSerName val="0"/>
          <c:showPercent val="1"/>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15:layout>
                <c:manualLayout>
                  <c:w val="7.2906806791630668E-2"/>
                  <c:h val="1.8135272345614569E-2"/>
                </c:manualLayout>
              </c15:layout>
            </c:ext>
          </c:extLst>
        </c:dLbl>
      </c:pivotFmt>
      <c:pivotFmt>
        <c:idx val="15"/>
        <c:dLbl>
          <c:idx val="0"/>
          <c:layout>
            <c:manualLayout>
              <c:x val="-0.1148613510669669"/>
              <c:y val="2.8931502752659925E-2"/>
            </c:manualLayout>
          </c:layout>
          <c:showLegendKey val="0"/>
          <c:showVal val="1"/>
          <c:showCatName val="0"/>
          <c:showSerName val="0"/>
          <c:showPercent val="0"/>
          <c:showBubbleSize val="0"/>
          <c:extLst>
            <c:ext xmlns:c15="http://schemas.microsoft.com/office/drawing/2012/chart" uri="{CE6537A1-D6FC-4f65-9D91-7224C49458BB}">
              <c15:layout>
                <c:manualLayout>
                  <c:w val="4.268010414170087E-2"/>
                  <c:h val="1.4497332702757127E-2"/>
                </c:manualLayout>
              </c15:layout>
            </c:ext>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47768"/>
          </a:solidFill>
          <a:ln>
            <a:noFill/>
          </a:ln>
          <a:effectLst/>
        </c:spPr>
        <c:marker>
          <c:symbol val="none"/>
        </c:marker>
      </c:pivotFmt>
      <c:pivotFmt>
        <c:idx val="18"/>
        <c:spPr>
          <a:solidFill>
            <a:schemeClr val="accent1">
              <a:lumMod val="60000"/>
              <a:lumOff val="4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rgbClr val="18365D"/>
          </a:solidFill>
          <a:ln>
            <a:noFill/>
          </a:ln>
          <a:effectLst/>
        </c:spPr>
        <c:dLbl>
          <c:idx val="0"/>
          <c:layout>
            <c:manualLayout>
              <c:x val="0.19345089695955073"/>
              <c:y val="-3.6379396428575165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1">
              <a:lumMod val="60000"/>
              <a:lumOff val="40000"/>
            </a:schemeClr>
          </a:solidFill>
          <a:ln>
            <a:noFill/>
          </a:ln>
          <a:effectLst/>
        </c:spPr>
        <c:dLbl>
          <c:idx val="0"/>
          <c:layout>
            <c:manualLayout>
              <c:x val="0.19969657797074453"/>
              <c:y val="1.09138189285723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'Pivot Table 4'!$B$3</c:f>
              <c:strCache>
                <c:ptCount val="1"/>
                <c:pt idx="0">
                  <c:v>Total</c:v>
                </c:pt>
              </c:strCache>
            </c:strRef>
          </c:tx>
          <c:spPr>
            <a:solidFill>
              <a:schemeClr val="accent1">
                <a:lumMod val="60000"/>
                <a:lumOff val="40000"/>
              </a:schemeClr>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7829-4C2A-BACA-4984DF1028A0}"/>
              </c:ext>
            </c:extLst>
          </c:dPt>
          <c:dPt>
            <c:idx val="1"/>
            <c:invertIfNegative val="0"/>
            <c:bubble3D val="0"/>
            <c:spPr>
              <a:solidFill>
                <a:srgbClr val="18365D"/>
              </a:solidFill>
              <a:ln>
                <a:noFill/>
              </a:ln>
              <a:effectLst/>
            </c:spPr>
            <c:extLst>
              <c:ext xmlns:c16="http://schemas.microsoft.com/office/drawing/2014/chart" uri="{C3380CC4-5D6E-409C-BE32-E72D297353CC}">
                <c16:uniqueId val="{00000003-7829-4C2A-BACA-4984DF1028A0}"/>
              </c:ext>
            </c:extLst>
          </c:dPt>
          <c:dLbls>
            <c:dLbl>
              <c:idx val="0"/>
              <c:layout>
                <c:manualLayout>
                  <c:x val="0.19969657797074453"/>
                  <c:y val="1.091381892857235E-2"/>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7829-4C2A-BACA-4984DF1028A0}"/>
                </c:ext>
              </c:extLst>
            </c:dLbl>
            <c:dLbl>
              <c:idx val="1"/>
              <c:layout>
                <c:manualLayout>
                  <c:x val="0.19345089695955073"/>
                  <c:y val="-3.6379396428575165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7829-4C2A-BACA-4984DF1028A0}"/>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 Table 4'!$A$4:$A$6</c:f>
              <c:strCache>
                <c:ptCount val="2"/>
                <c:pt idx="0">
                  <c:v>Disloyal</c:v>
                </c:pt>
                <c:pt idx="1">
                  <c:v>Loyal</c:v>
                </c:pt>
              </c:strCache>
            </c:strRef>
          </c:cat>
          <c:val>
            <c:numRef>
              <c:f>'Pivot Table 4'!$B$4:$B$6</c:f>
              <c:numCache>
                <c:formatCode>General</c:formatCode>
                <c:ptCount val="2"/>
                <c:pt idx="0">
                  <c:v>69</c:v>
                </c:pt>
                <c:pt idx="1">
                  <c:v>70</c:v>
                </c:pt>
              </c:numCache>
            </c:numRef>
          </c:val>
          <c:extLst>
            <c:ext xmlns:c16="http://schemas.microsoft.com/office/drawing/2014/chart" uri="{C3380CC4-5D6E-409C-BE32-E72D297353CC}">
              <c16:uniqueId val="{00000004-7829-4C2A-BACA-4984DF1028A0}"/>
            </c:ext>
          </c:extLst>
        </c:ser>
        <c:dLbls>
          <c:dLblPos val="ctr"/>
          <c:showLegendKey val="0"/>
          <c:showVal val="1"/>
          <c:showCatName val="0"/>
          <c:showSerName val="0"/>
          <c:showPercent val="0"/>
          <c:showBubbleSize val="0"/>
        </c:dLbls>
        <c:gapWidth val="100"/>
        <c:overlap val="100"/>
        <c:axId val="465597320"/>
        <c:axId val="465568456"/>
      </c:barChart>
      <c:catAx>
        <c:axId val="465597320"/>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crossAx val="465568456"/>
        <c:crosses val="autoZero"/>
        <c:auto val="1"/>
        <c:lblAlgn val="ctr"/>
        <c:lblOffset val="100"/>
        <c:noMultiLvlLbl val="0"/>
      </c:catAx>
      <c:valAx>
        <c:axId val="46556845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55973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a:scene3d>
      <a:camera prst="orthographicFront"/>
      <a:lightRig rig="threePt" dir="t"/>
    </a:scene3d>
    <a:sp3d prstMaterial="metal">
      <a:bevelT w="88900" h="889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(Recovered).xlsx]Pivot Table 5!PivotTable2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sng" strike="noStrike" baseline="0">
                <a:solidFill>
                  <a:schemeClr val="accent1">
                    <a:lumMod val="50000"/>
                  </a:schemeClr>
                </a:solidFill>
              </a:rPr>
              <a:t>Airline Service Ratings </a:t>
            </a:r>
            <a:endParaRPr lang="en-US" b="1" u="sng">
              <a:solidFill>
                <a:schemeClr val="accent1">
                  <a:lumMod val="50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0A99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8365D"/>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lumMod val="75000"/>
            </a:schemeClr>
          </a:solidFill>
          <a:ln>
            <a:noFill/>
          </a:ln>
          <a:effectLst/>
        </c:spPr>
      </c:pivotFmt>
      <c:pivotFmt>
        <c:idx val="6"/>
        <c:spPr>
          <a:solidFill>
            <a:schemeClr val="accent1">
              <a:lumMod val="60000"/>
              <a:lumOff val="40000"/>
            </a:schemeClr>
          </a:solidFill>
          <a:ln>
            <a:noFill/>
          </a:ln>
          <a:effectLst/>
        </c:spPr>
      </c:pivotFmt>
      <c:pivotFmt>
        <c:idx val="7"/>
        <c:spPr>
          <a:solidFill>
            <a:schemeClr val="accent1">
              <a:lumMod val="40000"/>
              <a:lumOff val="60000"/>
            </a:schemeClr>
          </a:solidFill>
          <a:ln>
            <a:noFill/>
          </a:ln>
          <a:effectLst/>
        </c:spPr>
      </c:pivotFmt>
      <c:pivotFmt>
        <c:idx val="8"/>
        <c:spPr>
          <a:solidFill>
            <a:schemeClr val="accent1">
              <a:lumMod val="20000"/>
              <a:lumOff val="80000"/>
            </a:schemeClr>
          </a:solidFill>
          <a:ln>
            <a:noFill/>
          </a:ln>
          <a:effectLst/>
        </c:spPr>
      </c:pivotFmt>
    </c:pivotFmts>
    <c:plotArea>
      <c:layout>
        <c:manualLayout>
          <c:layoutTarget val="inner"/>
          <c:xMode val="edge"/>
          <c:yMode val="edge"/>
          <c:x val="7.7190859138634063E-2"/>
          <c:y val="0.13953535080682253"/>
          <c:w val="0.89189462873740022"/>
          <c:h val="0.69217063722619321"/>
        </c:manualLayout>
      </c:layout>
      <c:barChart>
        <c:barDir val="col"/>
        <c:grouping val="clustered"/>
        <c:varyColors val="0"/>
        <c:ser>
          <c:idx val="0"/>
          <c:order val="0"/>
          <c:tx>
            <c:strRef>
              <c:f>'Pivot Table 5'!$B$3</c:f>
              <c:strCache>
                <c:ptCount val="1"/>
                <c:pt idx="0">
                  <c:v>Total</c:v>
                </c:pt>
              </c:strCache>
            </c:strRef>
          </c:tx>
          <c:spPr>
            <a:solidFill>
              <a:srgbClr val="18365D"/>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3-D0A2-400C-9A2A-492EFB5E3A60}"/>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2-D0A2-400C-9A2A-492EFB5E3A60}"/>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D0A2-400C-9A2A-492EFB5E3A60}"/>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0-D0A2-400C-9A2A-492EFB5E3A60}"/>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5'!$A$4:$A$9</c:f>
              <c:strCache>
                <c:ptCount val="5"/>
                <c:pt idx="0">
                  <c:v>1</c:v>
                </c:pt>
                <c:pt idx="1">
                  <c:v>2</c:v>
                </c:pt>
                <c:pt idx="2">
                  <c:v>3</c:v>
                </c:pt>
                <c:pt idx="3">
                  <c:v>4</c:v>
                </c:pt>
                <c:pt idx="4">
                  <c:v>5</c:v>
                </c:pt>
              </c:strCache>
            </c:strRef>
          </c:cat>
          <c:val>
            <c:numRef>
              <c:f>'Pivot Table 5'!$B$4:$B$9</c:f>
              <c:numCache>
                <c:formatCode>General</c:formatCode>
                <c:ptCount val="5"/>
                <c:pt idx="0">
                  <c:v>23</c:v>
                </c:pt>
                <c:pt idx="1">
                  <c:v>30</c:v>
                </c:pt>
                <c:pt idx="2">
                  <c:v>24</c:v>
                </c:pt>
                <c:pt idx="3">
                  <c:v>27</c:v>
                </c:pt>
                <c:pt idx="4">
                  <c:v>35</c:v>
                </c:pt>
              </c:numCache>
            </c:numRef>
          </c:val>
          <c:extLst>
            <c:ext xmlns:c16="http://schemas.microsoft.com/office/drawing/2014/chart" uri="{C3380CC4-5D6E-409C-BE32-E72D297353CC}">
              <c16:uniqueId val="{00000000-F7F5-4E32-A1E3-598D39AC5201}"/>
            </c:ext>
          </c:extLst>
        </c:ser>
        <c:dLbls>
          <c:dLblPos val="outEnd"/>
          <c:showLegendKey val="0"/>
          <c:showVal val="1"/>
          <c:showCatName val="0"/>
          <c:showSerName val="0"/>
          <c:showPercent val="0"/>
          <c:showBubbleSize val="0"/>
        </c:dLbls>
        <c:gapWidth val="219"/>
        <c:overlap val="-27"/>
        <c:axId val="495117032"/>
        <c:axId val="495116376"/>
      </c:barChart>
      <c:catAx>
        <c:axId val="495117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95116376"/>
        <c:crosses val="autoZero"/>
        <c:auto val="1"/>
        <c:lblAlgn val="ctr"/>
        <c:lblOffset val="100"/>
        <c:noMultiLvlLbl val="0"/>
      </c:catAx>
      <c:valAx>
        <c:axId val="495116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95117032"/>
        <c:crosses val="autoZero"/>
        <c:crossBetween val="between"/>
      </c:valAx>
      <c:spPr>
        <a:solidFill>
          <a:sysClr val="window" lastClr="FFFFFF"/>
        </a:solidFill>
        <a:ln>
          <a:solidFill>
            <a:sysClr val="windowText" lastClr="000000"/>
          </a:solidFill>
        </a:ln>
        <a:effectLst/>
        <a:scene3d>
          <a:camera prst="orthographicFront"/>
          <a:lightRig rig="threePt" dir="t"/>
        </a:scene3d>
        <a:sp3d prstMaterial="metal">
          <a:bevelT w="88900" h="88900"/>
        </a:sp3d>
      </c:spPr>
    </c:plotArea>
    <c:plotVisOnly val="1"/>
    <c:dispBlanksAs val="gap"/>
    <c:showDLblsOverMax val="0"/>
  </c:chart>
  <c:spPr>
    <a:solidFill>
      <a:sysClr val="window" lastClr="FFFFFF"/>
    </a:solidFill>
    <a:ln w="9525" cap="flat" cmpd="sng" algn="ctr">
      <a:solidFill>
        <a:schemeClr val="tx1">
          <a:lumMod val="15000"/>
          <a:lumOff val="85000"/>
        </a:schemeClr>
      </a:solidFill>
      <a:round/>
    </a:ln>
    <a:effectLst>
      <a:outerShdw blurRad="127000" dist="50800" dir="5400000" algn="ctr" rotWithShape="0">
        <a:srgbClr val="000000">
          <a:alpha val="43137"/>
        </a:srgbClr>
      </a:outerShdw>
    </a:effectLst>
    <a:scene3d>
      <a:camera prst="orthographicFront"/>
      <a:lightRig rig="threePt" dir="t"/>
    </a:scene3d>
    <a:sp3d prstMaterial="metal">
      <a:bevelT w="88900" h="889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(Recovered).xlsx]Pivot Table 6!PivotTable1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sng" strike="noStrike" baseline="0">
                <a:solidFill>
                  <a:schemeClr val="accent1">
                    <a:lumMod val="50000"/>
                  </a:schemeClr>
                </a:solidFill>
              </a:rPr>
              <a:t>Type of Flight Distance</a:t>
            </a:r>
            <a:endParaRPr lang="en-US" b="1" u="sng">
              <a:solidFill>
                <a:schemeClr val="accent1">
                  <a:lumMod val="50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w="19050">
            <a:solidFill>
              <a:schemeClr val="lt1"/>
            </a:solidFill>
          </a:ln>
          <a:effectLst/>
        </c:spPr>
        <c:marker>
          <c:symbol val="none"/>
        </c:marker>
        <c:dLbl>
          <c:idx val="0"/>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18365D"/>
          </a:solidFill>
          <a:ln w="19050">
            <a:solidFill>
              <a:schemeClr val="lt1"/>
            </a:solidFill>
          </a:ln>
          <a:effectLst/>
        </c:spPr>
      </c:pivotFmt>
      <c:pivotFmt>
        <c:idx val="8"/>
        <c:spPr>
          <a:solidFill>
            <a:schemeClr val="accent1">
              <a:lumMod val="75000"/>
            </a:schemeClr>
          </a:solidFill>
          <a:ln w="19050">
            <a:solidFill>
              <a:schemeClr val="lt1"/>
            </a:solidFill>
          </a:ln>
          <a:effectLst/>
        </c:spPr>
      </c:pivotFmt>
      <c:pivotFmt>
        <c:idx val="9"/>
        <c:spPr>
          <a:solidFill>
            <a:schemeClr val="accent1">
              <a:lumMod val="60000"/>
              <a:lumOff val="40000"/>
            </a:schemeClr>
          </a:solidFill>
          <a:ln w="19050">
            <a:solidFill>
              <a:schemeClr val="lt1"/>
            </a:solidFill>
          </a:ln>
          <a:effectLst/>
        </c:spPr>
      </c:pivotFmt>
    </c:pivotFmts>
    <c:plotArea>
      <c:layout>
        <c:manualLayout>
          <c:layoutTarget val="inner"/>
          <c:xMode val="edge"/>
          <c:yMode val="edge"/>
          <c:x val="0.10968181356254589"/>
          <c:y val="0.20024909166729596"/>
          <c:w val="0.70222403948403855"/>
          <c:h val="0.62931573504179794"/>
        </c:manualLayout>
      </c:layout>
      <c:barChart>
        <c:barDir val="col"/>
        <c:grouping val="stacked"/>
        <c:varyColors val="0"/>
        <c:ser>
          <c:idx val="0"/>
          <c:order val="0"/>
          <c:tx>
            <c:strRef>
              <c:f>'Pivot Table 6'!$B$3</c:f>
              <c:strCache>
                <c:ptCount val="1"/>
                <c:pt idx="0">
                  <c:v>Total</c:v>
                </c:pt>
              </c:strCache>
            </c:strRef>
          </c:tx>
          <c:spPr>
            <a:solidFill>
              <a:schemeClr val="accent1">
                <a:lumMod val="60000"/>
                <a:lumOff val="40000"/>
              </a:schemeClr>
            </a:solidFill>
            <a:ln w="19050">
              <a:solidFill>
                <a:schemeClr val="lt1"/>
              </a:solidFill>
            </a:ln>
            <a:effectLst/>
          </c:spPr>
          <c:invertIfNegative val="0"/>
          <c:dPt>
            <c:idx val="0"/>
            <c:invertIfNegative val="0"/>
            <c:bubble3D val="0"/>
            <c:spPr>
              <a:solidFill>
                <a:srgbClr val="18365D"/>
              </a:solidFill>
              <a:ln w="19050">
                <a:solidFill>
                  <a:schemeClr val="lt1"/>
                </a:solidFill>
              </a:ln>
              <a:effectLst/>
            </c:spPr>
            <c:extLst>
              <c:ext xmlns:c16="http://schemas.microsoft.com/office/drawing/2014/chart" uri="{C3380CC4-5D6E-409C-BE32-E72D297353CC}">
                <c16:uniqueId val="{00000000-C6BD-44B9-8365-02DA897B4563}"/>
              </c:ext>
            </c:extLst>
          </c:dPt>
          <c:dPt>
            <c:idx val="1"/>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C6BD-44B9-8365-02DA897B4563}"/>
              </c:ext>
            </c:extLst>
          </c:dPt>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6'!$A$4:$A$7</c:f>
              <c:strCache>
                <c:ptCount val="3"/>
                <c:pt idx="0">
                  <c:v>Long</c:v>
                </c:pt>
                <c:pt idx="1">
                  <c:v>Medium</c:v>
                </c:pt>
                <c:pt idx="2">
                  <c:v>Short</c:v>
                </c:pt>
              </c:strCache>
            </c:strRef>
          </c:cat>
          <c:val>
            <c:numRef>
              <c:f>'Pivot Table 6'!$B$4:$B$7</c:f>
              <c:numCache>
                <c:formatCode>General</c:formatCode>
                <c:ptCount val="3"/>
                <c:pt idx="0">
                  <c:v>74</c:v>
                </c:pt>
                <c:pt idx="1">
                  <c:v>42</c:v>
                </c:pt>
                <c:pt idx="2">
                  <c:v>23</c:v>
                </c:pt>
              </c:numCache>
            </c:numRef>
          </c:val>
          <c:extLst>
            <c:ext xmlns:c16="http://schemas.microsoft.com/office/drawing/2014/chart" uri="{C3380CC4-5D6E-409C-BE32-E72D297353CC}">
              <c16:uniqueId val="{00000000-9564-4F9E-8DE2-43EC57ADB71B}"/>
            </c:ext>
          </c:extLst>
        </c:ser>
        <c:dLbls>
          <c:dLblPos val="ctr"/>
          <c:showLegendKey val="0"/>
          <c:showVal val="1"/>
          <c:showCatName val="0"/>
          <c:showSerName val="0"/>
          <c:showPercent val="0"/>
          <c:showBubbleSize val="0"/>
        </c:dLbls>
        <c:gapWidth val="150"/>
        <c:overlap val="100"/>
        <c:axId val="372682008"/>
        <c:axId val="372679712"/>
      </c:barChart>
      <c:catAx>
        <c:axId val="3726820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372679712"/>
        <c:crosses val="autoZero"/>
        <c:auto val="1"/>
        <c:lblAlgn val="ctr"/>
        <c:lblOffset val="100"/>
        <c:noMultiLvlLbl val="0"/>
      </c:catAx>
      <c:valAx>
        <c:axId val="3726797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72682008"/>
        <c:crosses val="autoZero"/>
        <c:crossBetween val="between"/>
      </c:valAx>
      <c:spPr>
        <a:noFill/>
        <a:ln>
          <a:noFill/>
        </a:ln>
        <a:effectLst>
          <a:outerShdw blurRad="127000" dist="50800" dir="5400000" algn="ctr" rotWithShape="0">
            <a:srgbClr val="000000">
              <a:alpha val="43137"/>
            </a:srgbClr>
          </a:outerShdw>
        </a:effectLst>
      </c:spPr>
    </c:plotArea>
    <c:legend>
      <c:legendPos val="r"/>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ysClr val="window" lastClr="FFFFFF"/>
    </a:solidFill>
    <a:ln w="9525" cap="flat" cmpd="sng" algn="ctr">
      <a:solidFill>
        <a:schemeClr val="tx1">
          <a:lumMod val="15000"/>
          <a:lumOff val="85000"/>
        </a:schemeClr>
      </a:solidFill>
      <a:round/>
    </a:ln>
    <a:effectLst>
      <a:outerShdw blurRad="127000" dist="50800" dir="5400000" algn="ctr" rotWithShape="0">
        <a:srgbClr val="000000">
          <a:alpha val="43137"/>
        </a:srgbClr>
      </a:outerShdw>
    </a:effectLst>
    <a:scene3d>
      <a:camera prst="orthographicFront"/>
      <a:lightRig rig="threePt" dir="t"/>
    </a:scene3d>
    <a:sp3d prstMaterial="metal">
      <a:bevelT w="88900" h="889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106680</xdr:colOff>
      <xdr:row>8</xdr:row>
      <xdr:rowOff>19050</xdr:rowOff>
    </xdr:from>
    <xdr:to>
      <xdr:col>5</xdr:col>
      <xdr:colOff>152400</xdr:colOff>
      <xdr:row>23</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586740</xdr:colOff>
      <xdr:row>9</xdr:row>
      <xdr:rowOff>3810</xdr:rowOff>
    </xdr:from>
    <xdr:to>
      <xdr:col>9</xdr:col>
      <xdr:colOff>441960</xdr:colOff>
      <xdr:row>25</xdr:row>
      <xdr:rowOff>83820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548640</xdr:colOff>
      <xdr:row>8</xdr:row>
      <xdr:rowOff>49530</xdr:rowOff>
    </xdr:from>
    <xdr:to>
      <xdr:col>5</xdr:col>
      <xdr:colOff>594360</xdr:colOff>
      <xdr:row>23</xdr:row>
      <xdr:rowOff>49530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617220</xdr:colOff>
      <xdr:row>7</xdr:row>
      <xdr:rowOff>11430</xdr:rowOff>
    </xdr:from>
    <xdr:to>
      <xdr:col>6</xdr:col>
      <xdr:colOff>396240</xdr:colOff>
      <xdr:row>22</xdr:row>
      <xdr:rowOff>11430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99060</xdr:colOff>
      <xdr:row>6</xdr:row>
      <xdr:rowOff>118110</xdr:rowOff>
    </xdr:from>
    <xdr:to>
      <xdr:col>11</xdr:col>
      <xdr:colOff>403860</xdr:colOff>
      <xdr:row>21</xdr:row>
      <xdr:rowOff>118110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754380</xdr:colOff>
      <xdr:row>9</xdr:row>
      <xdr:rowOff>133350</xdr:rowOff>
    </xdr:from>
    <xdr:to>
      <xdr:col>8</xdr:col>
      <xdr:colOff>289560</xdr:colOff>
      <xdr:row>24</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95250</xdr:colOff>
      <xdr:row>13</xdr:row>
      <xdr:rowOff>108857</xdr:rowOff>
    </xdr:from>
    <xdr:to>
      <xdr:col>7</xdr:col>
      <xdr:colOff>149679</xdr:colOff>
      <xdr:row>32</xdr:row>
      <xdr:rowOff>122464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176893</xdr:colOff>
      <xdr:row>13</xdr:row>
      <xdr:rowOff>105830</xdr:rowOff>
    </xdr:from>
    <xdr:to>
      <xdr:col>14</xdr:col>
      <xdr:colOff>598715</xdr:colOff>
      <xdr:row>32</xdr:row>
      <xdr:rowOff>122463</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81643</xdr:colOff>
      <xdr:row>13</xdr:row>
      <xdr:rowOff>95250</xdr:rowOff>
    </xdr:from>
    <xdr:to>
      <xdr:col>21</xdr:col>
      <xdr:colOff>1428750</xdr:colOff>
      <xdr:row>32</xdr:row>
      <xdr:rowOff>149678</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54428</xdr:colOff>
      <xdr:row>33</xdr:row>
      <xdr:rowOff>13607</xdr:rowOff>
    </xdr:from>
    <xdr:to>
      <xdr:col>7</xdr:col>
      <xdr:colOff>149677</xdr:colOff>
      <xdr:row>43</xdr:row>
      <xdr:rowOff>1905000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231321</xdr:colOff>
      <xdr:row>33</xdr:row>
      <xdr:rowOff>13607</xdr:rowOff>
    </xdr:from>
    <xdr:to>
      <xdr:col>15</xdr:col>
      <xdr:colOff>21167</xdr:colOff>
      <xdr:row>43</xdr:row>
      <xdr:rowOff>1864179</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108857</xdr:colOff>
      <xdr:row>6</xdr:row>
      <xdr:rowOff>31751</xdr:rowOff>
    </xdr:from>
    <xdr:to>
      <xdr:col>7</xdr:col>
      <xdr:colOff>108857</xdr:colOff>
      <xdr:row>13</xdr:row>
      <xdr:rowOff>21166</xdr:rowOff>
    </xdr:to>
    <mc:AlternateContent xmlns:mc="http://schemas.openxmlformats.org/markup-compatibility/2006" xmlns:a14="http://schemas.microsoft.com/office/drawing/2010/main">
      <mc:Choice Requires="a14">
        <xdr:graphicFrame macro="">
          <xdr:nvGraphicFramePr>
            <xdr:cNvPr id="10"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8857" y="1531170"/>
              <a:ext cx="4301613" cy="1279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176893</xdr:colOff>
      <xdr:row>6</xdr:row>
      <xdr:rowOff>45358</xdr:rowOff>
    </xdr:from>
    <xdr:to>
      <xdr:col>15</xdr:col>
      <xdr:colOff>7559</xdr:colOff>
      <xdr:row>13</xdr:row>
      <xdr:rowOff>34774</xdr:rowOff>
    </xdr:to>
    <mc:AlternateContent xmlns:mc="http://schemas.openxmlformats.org/markup-compatibility/2006" xmlns:a14="http://schemas.microsoft.com/office/drawing/2010/main">
      <mc:Choice Requires="a14">
        <xdr:graphicFrame macro="">
          <xdr:nvGraphicFramePr>
            <xdr:cNvPr id="11" name="Customer Type"/>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4478506" y="1544777"/>
              <a:ext cx="4709924" cy="1279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81643</xdr:colOff>
      <xdr:row>6</xdr:row>
      <xdr:rowOff>60306</xdr:rowOff>
    </xdr:from>
    <xdr:to>
      <xdr:col>21</xdr:col>
      <xdr:colOff>1455964</xdr:colOff>
      <xdr:row>13</xdr:row>
      <xdr:rowOff>54427</xdr:rowOff>
    </xdr:to>
    <mc:AlternateContent xmlns:mc="http://schemas.openxmlformats.org/markup-compatibility/2006" xmlns:a14="http://schemas.microsoft.com/office/drawing/2010/main">
      <mc:Choice Requires="a14">
        <xdr:graphicFrame macro="">
          <xdr:nvGraphicFramePr>
            <xdr:cNvPr id="12" name="Class"/>
            <xdr:cNvGraphicFramePr/>
          </xdr:nvGraphicFramePr>
          <xdr:xfrm>
            <a:off x="0" y="0"/>
            <a:ext cx="0" cy="0"/>
          </xdr:xfrm>
          <a:graphic>
            <a:graphicData uri="http://schemas.microsoft.com/office/drawing/2010/slicer">
              <sle:slicer xmlns:sle="http://schemas.microsoft.com/office/drawing/2010/slicer" name="Class"/>
            </a:graphicData>
          </a:graphic>
        </xdr:graphicFrame>
      </mc:Choice>
      <mc:Fallback xmlns="">
        <xdr:sp macro="" textlink="">
          <xdr:nvSpPr>
            <xdr:cNvPr id="0" name=""/>
            <xdr:cNvSpPr>
              <a:spLocks noTextEdit="1"/>
            </xdr:cNvSpPr>
          </xdr:nvSpPr>
          <xdr:spPr>
            <a:xfrm>
              <a:off x="9262514" y="1559725"/>
              <a:ext cx="5061418" cy="12846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95250</xdr:colOff>
      <xdr:row>33</xdr:row>
      <xdr:rowOff>27213</xdr:rowOff>
    </xdr:from>
    <xdr:to>
      <xdr:col>21</xdr:col>
      <xdr:colOff>1442357</xdr:colOff>
      <xdr:row>43</xdr:row>
      <xdr:rowOff>1892710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222250</xdr:colOff>
      <xdr:row>0</xdr:row>
      <xdr:rowOff>0</xdr:rowOff>
    </xdr:from>
    <xdr:to>
      <xdr:col>21</xdr:col>
      <xdr:colOff>158750</xdr:colOff>
      <xdr:row>5</xdr:row>
      <xdr:rowOff>10582</xdr:rowOff>
    </xdr:to>
    <xdr:sp macro="" textlink="">
      <xdr:nvSpPr>
        <xdr:cNvPr id="5" name="Rounded Rectangle 4"/>
        <xdr:cNvSpPr/>
      </xdr:nvSpPr>
      <xdr:spPr>
        <a:xfrm>
          <a:off x="836083" y="0"/>
          <a:ext cx="12181417" cy="1322915"/>
        </a:xfrm>
        <a:prstGeom prst="roundRect">
          <a:avLst/>
        </a:prstGeom>
        <a:solidFill>
          <a:srgbClr val="18365D"/>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4</xdr:col>
      <xdr:colOff>486835</xdr:colOff>
      <xdr:row>3</xdr:row>
      <xdr:rowOff>179916</xdr:rowOff>
    </xdr:from>
    <xdr:to>
      <xdr:col>16</xdr:col>
      <xdr:colOff>539751</xdr:colOff>
      <xdr:row>4</xdr:row>
      <xdr:rowOff>84666</xdr:rowOff>
    </xdr:to>
    <xdr:sp macro="" textlink="">
      <xdr:nvSpPr>
        <xdr:cNvPr id="8" name="TextBox 7"/>
        <xdr:cNvSpPr txBox="1"/>
      </xdr:nvSpPr>
      <xdr:spPr>
        <a:xfrm>
          <a:off x="2942168" y="179916"/>
          <a:ext cx="7387166" cy="1037167"/>
        </a:xfrm>
        <a:prstGeom prst="rect">
          <a:avLst/>
        </a:prstGeom>
        <a:solidFill>
          <a:srgbClr val="18365D"/>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400" b="1">
              <a:solidFill>
                <a:schemeClr val="lt1"/>
              </a:solidFill>
              <a:latin typeface="+mn-lt"/>
              <a:ea typeface="+mn-ea"/>
              <a:cs typeface="+mn-cs"/>
            </a:rPr>
            <a:t>AIRLINE PASSENGER SATISFACTION</a:t>
          </a:r>
        </a:p>
        <a:p>
          <a:pPr marL="0" indent="0" algn="ctr"/>
          <a:r>
            <a:rPr lang="en-IN" sz="2400" b="1">
              <a:solidFill>
                <a:schemeClr val="lt1"/>
              </a:solidFill>
              <a:latin typeface="+mn-lt"/>
              <a:ea typeface="+mn-ea"/>
              <a:cs typeface="+mn-cs"/>
            </a:rPr>
            <a:t>Passenger experience • Travel class • Service ratings</a:t>
          </a:r>
        </a:p>
      </xdr:txBody>
    </xdr:sp>
    <xdr:clientData/>
  </xdr:twoCellAnchor>
  <xdr:twoCellAnchor editAs="oneCell">
    <xdr:from>
      <xdr:col>16</xdr:col>
      <xdr:colOff>231320</xdr:colOff>
      <xdr:row>0</xdr:row>
      <xdr:rowOff>0</xdr:rowOff>
    </xdr:from>
    <xdr:to>
      <xdr:col>19</xdr:col>
      <xdr:colOff>13607</xdr:colOff>
      <xdr:row>5</xdr:row>
      <xdr:rowOff>54428</xdr:rowOff>
    </xdr:to>
    <xdr:pic>
      <xdr:nvPicPr>
        <xdr:cNvPr id="9" name="Picture 8"/>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001249" y="0"/>
          <a:ext cx="1619251" cy="1360714"/>
        </a:xfrm>
        <a:prstGeom prst="rect">
          <a:avLst/>
        </a:prstGeom>
      </xdr:spPr>
    </xdr:pic>
    <xdr:clientData/>
  </xdr:twoCellAnchor>
  <xdr:twoCellAnchor editAs="oneCell">
    <xdr:from>
      <xdr:col>2</xdr:col>
      <xdr:colOff>149678</xdr:colOff>
      <xdr:row>0</xdr:row>
      <xdr:rowOff>0</xdr:rowOff>
    </xdr:from>
    <xdr:to>
      <xdr:col>6</xdr:col>
      <xdr:colOff>13608</xdr:colOff>
      <xdr:row>5</xdr:row>
      <xdr:rowOff>95250</xdr:rowOff>
    </xdr:to>
    <xdr:pic>
      <xdr:nvPicPr>
        <xdr:cNvPr id="13" name="Picture 12"/>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374321" y="0"/>
          <a:ext cx="2313216" cy="1401536"/>
        </a:xfrm>
        <a:prstGeom prst="rect">
          <a:avLst/>
        </a:prstGeom>
      </xdr:spPr>
    </xdr:pic>
    <xdr:clientData/>
  </xdr:twoCellAnchor>
  <xdr:twoCellAnchor>
    <xdr:from>
      <xdr:col>23</xdr:col>
      <xdr:colOff>557893</xdr:colOff>
      <xdr:row>6</xdr:row>
      <xdr:rowOff>136071</xdr:rowOff>
    </xdr:from>
    <xdr:to>
      <xdr:col>29</xdr:col>
      <xdr:colOff>435427</xdr:colOff>
      <xdr:row>13</xdr:row>
      <xdr:rowOff>13607</xdr:rowOff>
    </xdr:to>
    <xdr:sp macro="" textlink="">
      <xdr:nvSpPr>
        <xdr:cNvPr id="16" name="TextBox 15"/>
        <xdr:cNvSpPr txBox="1"/>
      </xdr:nvSpPr>
      <xdr:spPr>
        <a:xfrm>
          <a:off x="15539357" y="1619250"/>
          <a:ext cx="3551463" cy="1115786"/>
        </a:xfrm>
        <a:prstGeom prst="rect">
          <a:avLst/>
        </a:prstGeom>
        <a:solidFill>
          <a:srgbClr val="DCEAF7"/>
        </a:solidFill>
        <a:ln w="9525"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2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Yash" refreshedDate="46318.315414467594" createdVersion="6" refreshedVersion="6" minRefreshableVersion="3" recordCount="250">
  <cacheSource type="worksheet">
    <worksheetSource name="Table1"/>
  </cacheSource>
  <cacheFields count="15">
    <cacheField name="id" numFmtId="1">
      <sharedItems containsSemiMixedTypes="0" containsString="0" containsNumber="1" containsInteger="1" minValue="70000" maxValue="70249"/>
    </cacheField>
    <cacheField name="Gender" numFmtId="49">
      <sharedItems count="2">
        <s v="Male"/>
        <s v="Female"/>
      </sharedItems>
    </cacheField>
    <cacheField name="Customer Type" numFmtId="49">
      <sharedItems count="2">
        <s v="Disloyal"/>
        <s v="Loyal"/>
      </sharedItems>
    </cacheField>
    <cacheField name="Class" numFmtId="49">
      <sharedItems count="3">
        <s v="Eco"/>
        <s v="Business"/>
        <s v="Eco Plus"/>
      </sharedItems>
    </cacheField>
    <cacheField name="Flight Distance" numFmtId="1">
      <sharedItems containsSemiMixedTypes="0" containsString="0" containsNumber="1" containsInteger="1" minValue="203" maxValue="3455" count="238">
        <n v="2277"/>
        <n v="480"/>
        <n v="2113"/>
        <n v="2583"/>
        <n v="358"/>
        <n v="1821"/>
        <n v="1714"/>
        <n v="959"/>
        <n v="1064"/>
        <n v="2551"/>
        <n v="2959"/>
        <n v="2380"/>
        <n v="3431"/>
        <n v="591"/>
        <n v="2416"/>
        <n v="3045"/>
        <n v="485"/>
        <n v="374"/>
        <n v="2957"/>
        <n v="574"/>
        <n v="378"/>
        <n v="758"/>
        <n v="3128"/>
        <n v="3201"/>
        <n v="1659"/>
        <n v="2668"/>
        <n v="3211"/>
        <n v="491"/>
        <n v="1368"/>
        <n v="523"/>
        <n v="2343"/>
        <n v="3133"/>
        <n v="780"/>
        <n v="671"/>
        <n v="3002"/>
        <n v="2573"/>
        <n v="951"/>
        <n v="1196"/>
        <n v="205"/>
        <n v="3275"/>
        <n v="2395"/>
        <n v="2555"/>
        <n v="1537"/>
        <n v="1093"/>
        <n v="2456"/>
        <n v="1995"/>
        <n v="950"/>
        <n v="606"/>
        <n v="2374"/>
        <n v="2013"/>
        <n v="2554"/>
        <n v="1783"/>
        <n v="1778"/>
        <n v="1911"/>
        <n v="1078"/>
        <n v="658"/>
        <n v="387"/>
        <n v="1464"/>
        <n v="2785"/>
        <n v="1732"/>
        <n v="659"/>
        <n v="1925"/>
        <n v="1725"/>
        <n v="494"/>
        <n v="720"/>
        <n v="2926"/>
        <n v="3440"/>
        <n v="2159"/>
        <n v="2626"/>
        <n v="300"/>
        <n v="2512"/>
        <n v="2250"/>
        <n v="2266"/>
        <n v="1717"/>
        <n v="1861"/>
        <n v="791"/>
        <n v="1662"/>
        <n v="899"/>
        <n v="548"/>
        <n v="1088"/>
        <n v="1171"/>
        <n v="556"/>
        <n v="790"/>
        <n v="1598"/>
        <n v="353"/>
        <n v="1942"/>
        <n v="225"/>
        <n v="1215"/>
        <n v="1820"/>
        <n v="3332"/>
        <n v="2890"/>
        <n v="855"/>
        <n v="3020"/>
        <n v="386"/>
        <n v="2663"/>
        <n v="1824"/>
        <n v="3244"/>
        <n v="2156"/>
        <n v="1286"/>
        <n v="1288"/>
        <n v="2589"/>
        <n v="871"/>
        <n v="3187"/>
        <n v="3280"/>
        <n v="3455"/>
        <n v="3223"/>
        <n v="1326"/>
        <n v="2166"/>
        <n v="1493"/>
        <n v="3242"/>
        <n v="1015"/>
        <n v="2404"/>
        <n v="242"/>
        <n v="1339"/>
        <n v="2895"/>
        <n v="2552"/>
        <n v="1923"/>
        <n v="3411"/>
        <n v="1544"/>
        <n v="1736"/>
        <n v="1790"/>
        <n v="2055"/>
        <n v="2776"/>
        <n v="2678"/>
        <n v="2230"/>
        <n v="1448"/>
        <n v="1145"/>
        <n v="446"/>
        <n v="3279"/>
        <n v="3336"/>
        <n v="1383"/>
        <n v="1166"/>
        <n v="1796"/>
        <n v="280"/>
        <n v="763"/>
        <n v="1504"/>
        <n v="203"/>
        <n v="2203"/>
        <n v="1252"/>
        <n v="2272"/>
        <n v="1223"/>
        <n v="2087"/>
        <n v="1879"/>
        <n v="1280"/>
        <n v="870"/>
        <n v="3107"/>
        <n v="2903"/>
        <n v="3427"/>
        <n v="3189"/>
        <n v="784"/>
        <n v="1876"/>
        <n v="3374"/>
        <n v="696"/>
        <n v="345"/>
        <n v="289"/>
        <n v="2520"/>
        <n v="1162"/>
        <n v="3219"/>
        <n v="2348"/>
        <n v="1201"/>
        <n v="662"/>
        <n v="2769"/>
        <n v="3309"/>
        <n v="987"/>
        <n v="288"/>
        <n v="1524"/>
        <n v="1873"/>
        <n v="1105"/>
        <n v="3311"/>
        <n v="2563"/>
        <n v="688"/>
        <n v="330"/>
        <n v="1244"/>
        <n v="2145"/>
        <n v="617"/>
        <n v="3084"/>
        <n v="2629"/>
        <n v="2056"/>
        <n v="3349"/>
        <n v="3314"/>
        <n v="2869"/>
        <n v="1100"/>
        <n v="1606"/>
        <n v="608"/>
        <n v="2494"/>
        <n v="2367"/>
        <n v="2481"/>
        <n v="1715"/>
        <n v="2920"/>
        <n v="625"/>
        <n v="2270"/>
        <n v="3318"/>
        <n v="1083"/>
        <n v="2388"/>
        <n v="1878"/>
        <n v="2854"/>
        <n v="976"/>
        <n v="2423"/>
        <n v="1822"/>
        <n v="1762"/>
        <n v="1341"/>
        <n v="252"/>
        <n v="470"/>
        <n v="2713"/>
        <n v="740"/>
        <n v="1687"/>
        <n v="213"/>
        <n v="924"/>
        <n v="2498"/>
        <n v="2486"/>
        <n v="684"/>
        <n v="2294"/>
        <n v="1260"/>
        <n v="274"/>
        <n v="1272"/>
        <n v="1161"/>
        <n v="2593"/>
        <n v="1637"/>
        <n v="869"/>
        <n v="342"/>
        <n v="3156"/>
        <n v="2095"/>
        <n v="2057"/>
        <n v="2560"/>
        <n v="2945"/>
        <n v="2847"/>
        <n v="1315"/>
        <n v="350"/>
        <n v="2650"/>
        <n v="406"/>
        <n v="756"/>
        <n v="1553"/>
        <n v="2408"/>
        <n v="2853"/>
        <n v="1477"/>
        <n v="2365"/>
        <n v="1863"/>
        <n v="2188"/>
      </sharedItems>
    </cacheField>
    <cacheField name="Distance Band" numFmtId="0">
      <sharedItems count="3">
        <s v="Long"/>
        <s v="Short"/>
        <s v="Medium"/>
      </sharedItems>
    </cacheField>
    <cacheField name="Departure Delay" numFmtId="1">
      <sharedItems containsSemiMixedTypes="0" containsString="0" containsNumber="1" containsInteger="1" minValue="0" maxValue="90" count="5">
        <n v="40"/>
        <n v="90"/>
        <n v="0"/>
        <n v="5"/>
        <n v="15"/>
      </sharedItems>
    </cacheField>
    <cacheField name="Arrival Delay" numFmtId="1">
      <sharedItems containsSemiMixedTypes="0" containsString="0" containsNumber="1" containsInteger="1" minValue="0" maxValue="100" count="61">
        <n v="50"/>
        <n v="51"/>
        <n v="9"/>
        <n v="90"/>
        <n v="0"/>
        <n v="14"/>
        <n v="46"/>
        <n v="8"/>
        <n v="5"/>
        <n v="13"/>
        <n v="86"/>
        <n v="19"/>
        <n v="6"/>
        <n v="4"/>
        <n v="41"/>
        <n v="87"/>
        <n v="43"/>
        <n v="10"/>
        <n v="48"/>
        <n v="94"/>
        <n v="89"/>
        <n v="100"/>
        <n v="42"/>
        <n v="1"/>
        <n v="44"/>
        <n v="20"/>
        <n v="17"/>
        <n v="88"/>
        <n v="2"/>
        <n v="18"/>
        <n v="92"/>
        <n v="97"/>
        <n v="12"/>
        <n v="7"/>
        <n v="40"/>
        <n v="22"/>
        <n v="16"/>
        <n v="99"/>
        <n v="21"/>
        <n v="95"/>
        <n v="3"/>
        <n v="11"/>
        <n v="23"/>
        <n v="65"/>
        <n v="25"/>
        <n v="93"/>
        <n v="15"/>
        <n v="47"/>
        <n v="36"/>
        <n v="67"/>
        <n v="98"/>
        <n v="35"/>
        <n v="85"/>
        <n v="96"/>
        <n v="24"/>
        <n v="27"/>
        <n v="45"/>
        <n v="37"/>
        <n v="78"/>
        <n v="49"/>
        <n v="39"/>
      </sharedItems>
    </cacheField>
    <cacheField name="Clean Arrival Delay" numFmtId="0">
      <sharedItems containsSemiMixedTypes="0" containsString="0" containsNumber="1" containsInteger="1" minValue="0" maxValue="100"/>
    </cacheField>
    <cacheField name="Seat Comfort" numFmtId="1">
      <sharedItems containsSemiMixedTypes="0" containsString="0" containsNumber="1" containsInteger="1" minValue="1" maxValue="5" count="5">
        <n v="2"/>
        <n v="4"/>
        <n v="1"/>
        <n v="3"/>
        <n v="5"/>
      </sharedItems>
    </cacheField>
    <cacheField name="Inflight Service" numFmtId="1">
      <sharedItems containsSemiMixedTypes="0" containsString="0" containsNumber="1" containsInteger="1" minValue="1" maxValue="5" count="5">
        <n v="5"/>
        <n v="3"/>
        <n v="1"/>
        <n v="4"/>
        <n v="2"/>
      </sharedItems>
    </cacheField>
    <cacheField name="Cleanliness" numFmtId="1">
      <sharedItems containsSemiMixedTypes="0" containsString="0" containsNumber="1" containsInteger="1" minValue="1" maxValue="5"/>
    </cacheField>
    <cacheField name="Rating" numFmtId="1">
      <sharedItems containsSemiMixedTypes="0" containsString="0" containsNumber="1" minValue="1" maxValue="5" count="13">
        <n v="3.6666666666666665"/>
        <n v="2.3333333333333335"/>
        <n v="3"/>
        <n v="2"/>
        <n v="2.6666666666666665"/>
        <n v="4"/>
        <n v="3.3333333333333335"/>
        <n v="1.6666666666666667"/>
        <n v="1.3333333333333333"/>
        <n v="4.333333333333333"/>
        <n v="4.666666666666667"/>
        <n v="5"/>
        <n v="1"/>
      </sharedItems>
    </cacheField>
    <cacheField name="Label" numFmtId="0">
      <sharedItems/>
    </cacheField>
    <cacheField name="Satisfaction" numFmtId="49">
      <sharedItems count="2">
        <s v="Neutral or Dissatisfied"/>
        <s v="Satisfied"/>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50">
  <r>
    <n v="70204"/>
    <x v="0"/>
    <x v="0"/>
    <x v="0"/>
    <x v="0"/>
    <x v="0"/>
    <x v="0"/>
    <x v="0"/>
    <n v="50"/>
    <x v="0"/>
    <x v="0"/>
    <n v="4"/>
    <x v="0"/>
    <s v="Good"/>
    <x v="0"/>
  </r>
  <r>
    <n v="70246"/>
    <x v="0"/>
    <x v="0"/>
    <x v="1"/>
    <x v="1"/>
    <x v="1"/>
    <x v="1"/>
    <x v="1"/>
    <n v="51"/>
    <x v="0"/>
    <x v="1"/>
    <n v="2"/>
    <x v="1"/>
    <s v="Poor"/>
    <x v="0"/>
  </r>
  <r>
    <n v="70129"/>
    <x v="0"/>
    <x v="0"/>
    <x v="0"/>
    <x v="2"/>
    <x v="0"/>
    <x v="2"/>
    <x v="2"/>
    <n v="9"/>
    <x v="1"/>
    <x v="2"/>
    <n v="4"/>
    <x v="2"/>
    <s v="Average"/>
    <x v="1"/>
  </r>
  <r>
    <n v="70128"/>
    <x v="1"/>
    <x v="1"/>
    <x v="1"/>
    <x v="3"/>
    <x v="0"/>
    <x v="1"/>
    <x v="3"/>
    <n v="90"/>
    <x v="2"/>
    <x v="0"/>
    <n v="5"/>
    <x v="0"/>
    <s v="Good"/>
    <x v="1"/>
  </r>
  <r>
    <n v="70028"/>
    <x v="1"/>
    <x v="1"/>
    <x v="0"/>
    <x v="4"/>
    <x v="1"/>
    <x v="2"/>
    <x v="4"/>
    <n v="0"/>
    <x v="2"/>
    <x v="3"/>
    <n v="1"/>
    <x v="3"/>
    <s v="Poor"/>
    <x v="0"/>
  </r>
  <r>
    <n v="70207"/>
    <x v="0"/>
    <x v="0"/>
    <x v="0"/>
    <x v="5"/>
    <x v="0"/>
    <x v="2"/>
    <x v="4"/>
    <n v="0"/>
    <x v="3"/>
    <x v="1"/>
    <n v="2"/>
    <x v="4"/>
    <s v="Average"/>
    <x v="0"/>
  </r>
  <r>
    <n v="70003"/>
    <x v="1"/>
    <x v="0"/>
    <x v="1"/>
    <x v="6"/>
    <x v="0"/>
    <x v="3"/>
    <x v="5"/>
    <n v="14"/>
    <x v="1"/>
    <x v="0"/>
    <n v="3"/>
    <x v="5"/>
    <s v="Good"/>
    <x v="1"/>
  </r>
  <r>
    <n v="70213"/>
    <x v="0"/>
    <x v="1"/>
    <x v="2"/>
    <x v="7"/>
    <x v="2"/>
    <x v="3"/>
    <x v="2"/>
    <n v="9"/>
    <x v="2"/>
    <x v="1"/>
    <n v="2"/>
    <x v="3"/>
    <s v="Poor"/>
    <x v="0"/>
  </r>
  <r>
    <n v="70033"/>
    <x v="1"/>
    <x v="1"/>
    <x v="2"/>
    <x v="8"/>
    <x v="2"/>
    <x v="0"/>
    <x v="6"/>
    <n v="46"/>
    <x v="2"/>
    <x v="3"/>
    <n v="2"/>
    <x v="1"/>
    <s v="Poor"/>
    <x v="0"/>
  </r>
  <r>
    <n v="70235"/>
    <x v="0"/>
    <x v="1"/>
    <x v="2"/>
    <x v="9"/>
    <x v="0"/>
    <x v="2"/>
    <x v="7"/>
    <n v="8"/>
    <x v="3"/>
    <x v="1"/>
    <n v="4"/>
    <x v="6"/>
    <s v="Average"/>
    <x v="0"/>
  </r>
  <r>
    <n v="70110"/>
    <x v="0"/>
    <x v="1"/>
    <x v="1"/>
    <x v="10"/>
    <x v="0"/>
    <x v="3"/>
    <x v="4"/>
    <n v="0"/>
    <x v="2"/>
    <x v="3"/>
    <n v="2"/>
    <x v="1"/>
    <s v="Poor"/>
    <x v="1"/>
  </r>
  <r>
    <n v="70172"/>
    <x v="0"/>
    <x v="1"/>
    <x v="1"/>
    <x v="11"/>
    <x v="0"/>
    <x v="2"/>
    <x v="8"/>
    <n v="5"/>
    <x v="1"/>
    <x v="4"/>
    <n v="5"/>
    <x v="0"/>
    <s v="Good"/>
    <x v="1"/>
  </r>
  <r>
    <n v="70203"/>
    <x v="0"/>
    <x v="1"/>
    <x v="0"/>
    <x v="12"/>
    <x v="0"/>
    <x v="4"/>
    <x v="9"/>
    <n v="13"/>
    <x v="1"/>
    <x v="1"/>
    <n v="1"/>
    <x v="4"/>
    <s v="Average"/>
    <x v="0"/>
  </r>
  <r>
    <n v="70248"/>
    <x v="0"/>
    <x v="0"/>
    <x v="2"/>
    <x v="13"/>
    <x v="2"/>
    <x v="1"/>
    <x v="10"/>
    <n v="86"/>
    <x v="4"/>
    <x v="4"/>
    <n v="3"/>
    <x v="6"/>
    <s v="Average"/>
    <x v="0"/>
  </r>
  <r>
    <n v="70153"/>
    <x v="1"/>
    <x v="0"/>
    <x v="2"/>
    <x v="14"/>
    <x v="0"/>
    <x v="4"/>
    <x v="11"/>
    <n v="19"/>
    <x v="3"/>
    <x v="1"/>
    <n v="5"/>
    <x v="0"/>
    <s v="Good"/>
    <x v="1"/>
  </r>
  <r>
    <n v="70055"/>
    <x v="0"/>
    <x v="0"/>
    <x v="1"/>
    <x v="15"/>
    <x v="0"/>
    <x v="2"/>
    <x v="12"/>
    <n v="6"/>
    <x v="4"/>
    <x v="3"/>
    <n v="1"/>
    <x v="6"/>
    <s v="Average"/>
    <x v="1"/>
  </r>
  <r>
    <n v="70188"/>
    <x v="1"/>
    <x v="1"/>
    <x v="2"/>
    <x v="16"/>
    <x v="1"/>
    <x v="2"/>
    <x v="8"/>
    <n v="5"/>
    <x v="4"/>
    <x v="3"/>
    <n v="2"/>
    <x v="0"/>
    <s v="Good"/>
    <x v="0"/>
  </r>
  <r>
    <n v="70187"/>
    <x v="0"/>
    <x v="0"/>
    <x v="0"/>
    <x v="17"/>
    <x v="1"/>
    <x v="2"/>
    <x v="13"/>
    <n v="4"/>
    <x v="3"/>
    <x v="2"/>
    <n v="2"/>
    <x v="3"/>
    <s v="Poor"/>
    <x v="0"/>
  </r>
  <r>
    <n v="70123"/>
    <x v="1"/>
    <x v="1"/>
    <x v="0"/>
    <x v="18"/>
    <x v="0"/>
    <x v="0"/>
    <x v="14"/>
    <n v="41"/>
    <x v="0"/>
    <x v="3"/>
    <n v="4"/>
    <x v="6"/>
    <s v="Average"/>
    <x v="0"/>
  </r>
  <r>
    <n v="70156"/>
    <x v="0"/>
    <x v="1"/>
    <x v="0"/>
    <x v="19"/>
    <x v="2"/>
    <x v="1"/>
    <x v="15"/>
    <n v="87"/>
    <x v="1"/>
    <x v="4"/>
    <n v="2"/>
    <x v="4"/>
    <s v="Average"/>
    <x v="0"/>
  </r>
  <r>
    <n v="70106"/>
    <x v="0"/>
    <x v="1"/>
    <x v="1"/>
    <x v="20"/>
    <x v="1"/>
    <x v="0"/>
    <x v="16"/>
    <n v="43"/>
    <x v="4"/>
    <x v="0"/>
    <n v="2"/>
    <x v="5"/>
    <s v="Good"/>
    <x v="1"/>
  </r>
  <r>
    <n v="70077"/>
    <x v="0"/>
    <x v="1"/>
    <x v="1"/>
    <x v="21"/>
    <x v="2"/>
    <x v="2"/>
    <x v="4"/>
    <n v="0"/>
    <x v="0"/>
    <x v="1"/>
    <n v="4"/>
    <x v="2"/>
    <s v="Average"/>
    <x v="1"/>
  </r>
  <r>
    <n v="70113"/>
    <x v="0"/>
    <x v="0"/>
    <x v="0"/>
    <x v="22"/>
    <x v="0"/>
    <x v="2"/>
    <x v="7"/>
    <n v="8"/>
    <x v="0"/>
    <x v="4"/>
    <n v="1"/>
    <x v="7"/>
    <s v="Poor"/>
    <x v="0"/>
  </r>
  <r>
    <n v="70115"/>
    <x v="1"/>
    <x v="1"/>
    <x v="1"/>
    <x v="23"/>
    <x v="0"/>
    <x v="2"/>
    <x v="17"/>
    <n v="10"/>
    <x v="4"/>
    <x v="0"/>
    <n v="1"/>
    <x v="0"/>
    <s v="Good"/>
    <x v="0"/>
  </r>
  <r>
    <n v="70168"/>
    <x v="0"/>
    <x v="1"/>
    <x v="2"/>
    <x v="24"/>
    <x v="0"/>
    <x v="0"/>
    <x v="18"/>
    <n v="48"/>
    <x v="1"/>
    <x v="4"/>
    <n v="3"/>
    <x v="2"/>
    <s v="Average"/>
    <x v="1"/>
  </r>
  <r>
    <n v="70227"/>
    <x v="1"/>
    <x v="0"/>
    <x v="0"/>
    <x v="25"/>
    <x v="0"/>
    <x v="1"/>
    <x v="19"/>
    <n v="94"/>
    <x v="4"/>
    <x v="2"/>
    <n v="2"/>
    <x v="4"/>
    <s v="Average"/>
    <x v="0"/>
  </r>
  <r>
    <n v="70092"/>
    <x v="1"/>
    <x v="0"/>
    <x v="1"/>
    <x v="26"/>
    <x v="0"/>
    <x v="2"/>
    <x v="4"/>
    <n v="0"/>
    <x v="1"/>
    <x v="2"/>
    <n v="2"/>
    <x v="1"/>
    <s v="Poor"/>
    <x v="1"/>
  </r>
  <r>
    <n v="70042"/>
    <x v="0"/>
    <x v="1"/>
    <x v="2"/>
    <x v="27"/>
    <x v="1"/>
    <x v="2"/>
    <x v="17"/>
    <n v="10"/>
    <x v="2"/>
    <x v="4"/>
    <n v="1"/>
    <x v="8"/>
    <s v="Poor"/>
    <x v="0"/>
  </r>
  <r>
    <n v="70166"/>
    <x v="0"/>
    <x v="0"/>
    <x v="0"/>
    <x v="28"/>
    <x v="2"/>
    <x v="2"/>
    <x v="7"/>
    <n v="8"/>
    <x v="0"/>
    <x v="1"/>
    <n v="1"/>
    <x v="3"/>
    <s v="Poor"/>
    <x v="0"/>
  </r>
  <r>
    <n v="70068"/>
    <x v="1"/>
    <x v="0"/>
    <x v="2"/>
    <x v="29"/>
    <x v="2"/>
    <x v="0"/>
    <x v="14"/>
    <n v="41"/>
    <x v="2"/>
    <x v="1"/>
    <n v="3"/>
    <x v="1"/>
    <s v="Poor"/>
    <x v="0"/>
  </r>
  <r>
    <n v="70244"/>
    <x v="0"/>
    <x v="1"/>
    <x v="0"/>
    <x v="30"/>
    <x v="0"/>
    <x v="2"/>
    <x v="4"/>
    <n v="0"/>
    <x v="3"/>
    <x v="2"/>
    <n v="5"/>
    <x v="2"/>
    <s v="Average"/>
    <x v="0"/>
  </r>
  <r>
    <n v="70131"/>
    <x v="0"/>
    <x v="0"/>
    <x v="1"/>
    <x v="31"/>
    <x v="0"/>
    <x v="1"/>
    <x v="20"/>
    <n v="89"/>
    <x v="1"/>
    <x v="3"/>
    <n v="3"/>
    <x v="0"/>
    <s v="Good"/>
    <x v="1"/>
  </r>
  <r>
    <n v="70031"/>
    <x v="0"/>
    <x v="1"/>
    <x v="0"/>
    <x v="32"/>
    <x v="2"/>
    <x v="2"/>
    <x v="4"/>
    <n v="0"/>
    <x v="4"/>
    <x v="2"/>
    <n v="1"/>
    <x v="1"/>
    <s v="Poor"/>
    <x v="1"/>
  </r>
  <r>
    <n v="70063"/>
    <x v="0"/>
    <x v="0"/>
    <x v="1"/>
    <x v="33"/>
    <x v="2"/>
    <x v="1"/>
    <x v="21"/>
    <n v="100"/>
    <x v="2"/>
    <x v="3"/>
    <n v="3"/>
    <x v="4"/>
    <s v="Average"/>
    <x v="1"/>
  </r>
  <r>
    <n v="70243"/>
    <x v="1"/>
    <x v="1"/>
    <x v="0"/>
    <x v="34"/>
    <x v="0"/>
    <x v="0"/>
    <x v="22"/>
    <n v="42"/>
    <x v="0"/>
    <x v="3"/>
    <n v="1"/>
    <x v="1"/>
    <s v="Poor"/>
    <x v="0"/>
  </r>
  <r>
    <n v="70130"/>
    <x v="1"/>
    <x v="1"/>
    <x v="1"/>
    <x v="35"/>
    <x v="0"/>
    <x v="0"/>
    <x v="22"/>
    <n v="42"/>
    <x v="4"/>
    <x v="1"/>
    <n v="3"/>
    <x v="0"/>
    <s v="Good"/>
    <x v="1"/>
  </r>
  <r>
    <n v="70070"/>
    <x v="1"/>
    <x v="0"/>
    <x v="0"/>
    <x v="36"/>
    <x v="2"/>
    <x v="2"/>
    <x v="23"/>
    <n v="1"/>
    <x v="1"/>
    <x v="4"/>
    <n v="2"/>
    <x v="4"/>
    <s v="Average"/>
    <x v="1"/>
  </r>
  <r>
    <n v="70218"/>
    <x v="1"/>
    <x v="0"/>
    <x v="2"/>
    <x v="37"/>
    <x v="2"/>
    <x v="2"/>
    <x v="4"/>
    <n v="0"/>
    <x v="3"/>
    <x v="0"/>
    <n v="1"/>
    <x v="2"/>
    <s v="Average"/>
    <x v="1"/>
  </r>
  <r>
    <n v="70025"/>
    <x v="0"/>
    <x v="1"/>
    <x v="0"/>
    <x v="38"/>
    <x v="1"/>
    <x v="0"/>
    <x v="24"/>
    <n v="44"/>
    <x v="3"/>
    <x v="3"/>
    <n v="2"/>
    <x v="2"/>
    <s v="Average"/>
    <x v="0"/>
  </r>
  <r>
    <n v="70080"/>
    <x v="1"/>
    <x v="0"/>
    <x v="2"/>
    <x v="39"/>
    <x v="0"/>
    <x v="4"/>
    <x v="25"/>
    <n v="20"/>
    <x v="0"/>
    <x v="2"/>
    <n v="2"/>
    <x v="7"/>
    <s v="Poor"/>
    <x v="1"/>
  </r>
  <r>
    <n v="70157"/>
    <x v="1"/>
    <x v="0"/>
    <x v="1"/>
    <x v="40"/>
    <x v="0"/>
    <x v="4"/>
    <x v="26"/>
    <n v="17"/>
    <x v="4"/>
    <x v="1"/>
    <n v="5"/>
    <x v="9"/>
    <s v="Good"/>
    <x v="1"/>
  </r>
  <r>
    <n v="70200"/>
    <x v="1"/>
    <x v="0"/>
    <x v="1"/>
    <x v="41"/>
    <x v="0"/>
    <x v="2"/>
    <x v="4"/>
    <n v="0"/>
    <x v="1"/>
    <x v="3"/>
    <n v="4"/>
    <x v="5"/>
    <s v="Good"/>
    <x v="0"/>
  </r>
  <r>
    <n v="70120"/>
    <x v="0"/>
    <x v="1"/>
    <x v="0"/>
    <x v="42"/>
    <x v="0"/>
    <x v="1"/>
    <x v="3"/>
    <n v="90"/>
    <x v="3"/>
    <x v="4"/>
    <n v="5"/>
    <x v="6"/>
    <s v="Average"/>
    <x v="1"/>
  </r>
  <r>
    <n v="70155"/>
    <x v="1"/>
    <x v="1"/>
    <x v="0"/>
    <x v="43"/>
    <x v="2"/>
    <x v="1"/>
    <x v="27"/>
    <n v="88"/>
    <x v="0"/>
    <x v="0"/>
    <n v="1"/>
    <x v="4"/>
    <s v="Average"/>
    <x v="1"/>
  </r>
  <r>
    <n v="70210"/>
    <x v="0"/>
    <x v="1"/>
    <x v="0"/>
    <x v="44"/>
    <x v="0"/>
    <x v="3"/>
    <x v="28"/>
    <n v="2"/>
    <x v="2"/>
    <x v="0"/>
    <n v="4"/>
    <x v="6"/>
    <s v="Average"/>
    <x v="1"/>
  </r>
  <r>
    <n v="70146"/>
    <x v="0"/>
    <x v="0"/>
    <x v="2"/>
    <x v="45"/>
    <x v="0"/>
    <x v="3"/>
    <x v="2"/>
    <n v="9"/>
    <x v="1"/>
    <x v="3"/>
    <n v="5"/>
    <x v="9"/>
    <s v="Good"/>
    <x v="1"/>
  </r>
  <r>
    <n v="70071"/>
    <x v="1"/>
    <x v="1"/>
    <x v="0"/>
    <x v="46"/>
    <x v="2"/>
    <x v="4"/>
    <x v="29"/>
    <n v="18"/>
    <x v="1"/>
    <x v="4"/>
    <n v="1"/>
    <x v="1"/>
    <s v="Poor"/>
    <x v="1"/>
  </r>
  <r>
    <n v="70126"/>
    <x v="0"/>
    <x v="1"/>
    <x v="0"/>
    <x v="47"/>
    <x v="2"/>
    <x v="1"/>
    <x v="30"/>
    <n v="92"/>
    <x v="3"/>
    <x v="4"/>
    <n v="4"/>
    <x v="2"/>
    <s v="Average"/>
    <x v="0"/>
  </r>
  <r>
    <n v="70147"/>
    <x v="0"/>
    <x v="0"/>
    <x v="0"/>
    <x v="48"/>
    <x v="0"/>
    <x v="2"/>
    <x v="17"/>
    <n v="10"/>
    <x v="0"/>
    <x v="3"/>
    <n v="1"/>
    <x v="1"/>
    <s v="Poor"/>
    <x v="0"/>
  </r>
  <r>
    <n v="70169"/>
    <x v="1"/>
    <x v="0"/>
    <x v="2"/>
    <x v="49"/>
    <x v="0"/>
    <x v="1"/>
    <x v="31"/>
    <n v="97"/>
    <x v="0"/>
    <x v="0"/>
    <n v="4"/>
    <x v="0"/>
    <s v="Good"/>
    <x v="0"/>
  </r>
  <r>
    <n v="70132"/>
    <x v="1"/>
    <x v="0"/>
    <x v="1"/>
    <x v="50"/>
    <x v="0"/>
    <x v="2"/>
    <x v="4"/>
    <n v="0"/>
    <x v="0"/>
    <x v="1"/>
    <n v="4"/>
    <x v="2"/>
    <s v="Average"/>
    <x v="1"/>
  </r>
  <r>
    <n v="70005"/>
    <x v="1"/>
    <x v="0"/>
    <x v="2"/>
    <x v="51"/>
    <x v="0"/>
    <x v="3"/>
    <x v="32"/>
    <n v="12"/>
    <x v="2"/>
    <x v="3"/>
    <n v="2"/>
    <x v="1"/>
    <s v="Poor"/>
    <x v="0"/>
  </r>
  <r>
    <n v="70054"/>
    <x v="1"/>
    <x v="0"/>
    <x v="1"/>
    <x v="29"/>
    <x v="2"/>
    <x v="4"/>
    <x v="9"/>
    <n v="13"/>
    <x v="4"/>
    <x v="1"/>
    <n v="2"/>
    <x v="6"/>
    <s v="Average"/>
    <x v="1"/>
  </r>
  <r>
    <n v="70087"/>
    <x v="1"/>
    <x v="1"/>
    <x v="0"/>
    <x v="52"/>
    <x v="0"/>
    <x v="2"/>
    <x v="33"/>
    <n v="7"/>
    <x v="4"/>
    <x v="1"/>
    <n v="3"/>
    <x v="0"/>
    <s v="Good"/>
    <x v="1"/>
  </r>
  <r>
    <n v="70121"/>
    <x v="0"/>
    <x v="1"/>
    <x v="0"/>
    <x v="53"/>
    <x v="0"/>
    <x v="0"/>
    <x v="34"/>
    <n v="40"/>
    <x v="4"/>
    <x v="0"/>
    <n v="1"/>
    <x v="0"/>
    <s v="Good"/>
    <x v="0"/>
  </r>
  <r>
    <n v="70205"/>
    <x v="0"/>
    <x v="0"/>
    <x v="2"/>
    <x v="54"/>
    <x v="2"/>
    <x v="2"/>
    <x v="33"/>
    <n v="7"/>
    <x v="3"/>
    <x v="3"/>
    <n v="4"/>
    <x v="0"/>
    <s v="Good"/>
    <x v="0"/>
  </r>
  <r>
    <n v="70228"/>
    <x v="1"/>
    <x v="0"/>
    <x v="2"/>
    <x v="55"/>
    <x v="2"/>
    <x v="3"/>
    <x v="35"/>
    <n v="22"/>
    <x v="2"/>
    <x v="4"/>
    <n v="1"/>
    <x v="8"/>
    <s v="Poor"/>
    <x v="0"/>
  </r>
  <r>
    <n v="70048"/>
    <x v="0"/>
    <x v="0"/>
    <x v="1"/>
    <x v="56"/>
    <x v="1"/>
    <x v="2"/>
    <x v="4"/>
    <n v="0"/>
    <x v="2"/>
    <x v="0"/>
    <n v="1"/>
    <x v="1"/>
    <s v="Poor"/>
    <x v="1"/>
  </r>
  <r>
    <n v="70047"/>
    <x v="1"/>
    <x v="1"/>
    <x v="0"/>
    <x v="57"/>
    <x v="2"/>
    <x v="4"/>
    <x v="36"/>
    <n v="16"/>
    <x v="2"/>
    <x v="0"/>
    <n v="5"/>
    <x v="0"/>
    <s v="Good"/>
    <x v="0"/>
  </r>
  <r>
    <n v="70124"/>
    <x v="0"/>
    <x v="1"/>
    <x v="1"/>
    <x v="58"/>
    <x v="0"/>
    <x v="1"/>
    <x v="31"/>
    <n v="97"/>
    <x v="0"/>
    <x v="3"/>
    <n v="4"/>
    <x v="6"/>
    <s v="Average"/>
    <x v="1"/>
  </r>
  <r>
    <n v="70150"/>
    <x v="1"/>
    <x v="0"/>
    <x v="1"/>
    <x v="59"/>
    <x v="0"/>
    <x v="0"/>
    <x v="34"/>
    <n v="40"/>
    <x v="3"/>
    <x v="2"/>
    <n v="4"/>
    <x v="4"/>
    <s v="Average"/>
    <x v="0"/>
  </r>
  <r>
    <n v="70162"/>
    <x v="1"/>
    <x v="0"/>
    <x v="2"/>
    <x v="60"/>
    <x v="2"/>
    <x v="1"/>
    <x v="37"/>
    <n v="99"/>
    <x v="2"/>
    <x v="1"/>
    <n v="5"/>
    <x v="2"/>
    <s v="Average"/>
    <x v="0"/>
  </r>
  <r>
    <n v="70164"/>
    <x v="0"/>
    <x v="1"/>
    <x v="1"/>
    <x v="61"/>
    <x v="0"/>
    <x v="2"/>
    <x v="4"/>
    <n v="0"/>
    <x v="2"/>
    <x v="4"/>
    <n v="2"/>
    <x v="7"/>
    <s v="Poor"/>
    <x v="1"/>
  </r>
  <r>
    <n v="70148"/>
    <x v="1"/>
    <x v="1"/>
    <x v="0"/>
    <x v="62"/>
    <x v="0"/>
    <x v="2"/>
    <x v="4"/>
    <n v="0"/>
    <x v="2"/>
    <x v="4"/>
    <n v="3"/>
    <x v="3"/>
    <s v="Poor"/>
    <x v="0"/>
  </r>
  <r>
    <n v="70039"/>
    <x v="1"/>
    <x v="1"/>
    <x v="1"/>
    <x v="63"/>
    <x v="1"/>
    <x v="4"/>
    <x v="32"/>
    <n v="12"/>
    <x v="4"/>
    <x v="1"/>
    <n v="3"/>
    <x v="0"/>
    <s v="Good"/>
    <x v="1"/>
  </r>
  <r>
    <n v="70082"/>
    <x v="0"/>
    <x v="1"/>
    <x v="0"/>
    <x v="64"/>
    <x v="2"/>
    <x v="2"/>
    <x v="13"/>
    <n v="4"/>
    <x v="1"/>
    <x v="2"/>
    <n v="5"/>
    <x v="6"/>
    <s v="Average"/>
    <x v="1"/>
  </r>
  <r>
    <n v="70142"/>
    <x v="0"/>
    <x v="1"/>
    <x v="2"/>
    <x v="65"/>
    <x v="0"/>
    <x v="2"/>
    <x v="4"/>
    <n v="0"/>
    <x v="3"/>
    <x v="3"/>
    <n v="3"/>
    <x v="6"/>
    <s v="Average"/>
    <x v="0"/>
  </r>
  <r>
    <n v="70230"/>
    <x v="1"/>
    <x v="0"/>
    <x v="1"/>
    <x v="66"/>
    <x v="0"/>
    <x v="0"/>
    <x v="18"/>
    <n v="48"/>
    <x v="0"/>
    <x v="4"/>
    <n v="4"/>
    <x v="4"/>
    <s v="Average"/>
    <x v="1"/>
  </r>
  <r>
    <n v="70030"/>
    <x v="1"/>
    <x v="0"/>
    <x v="1"/>
    <x v="67"/>
    <x v="0"/>
    <x v="3"/>
    <x v="12"/>
    <n v="6"/>
    <x v="3"/>
    <x v="3"/>
    <n v="3"/>
    <x v="6"/>
    <s v="Average"/>
    <x v="1"/>
  </r>
  <r>
    <n v="70102"/>
    <x v="0"/>
    <x v="0"/>
    <x v="0"/>
    <x v="68"/>
    <x v="0"/>
    <x v="2"/>
    <x v="13"/>
    <n v="4"/>
    <x v="2"/>
    <x v="2"/>
    <n v="3"/>
    <x v="7"/>
    <s v="Poor"/>
    <x v="0"/>
  </r>
  <r>
    <n v="70018"/>
    <x v="0"/>
    <x v="0"/>
    <x v="1"/>
    <x v="69"/>
    <x v="1"/>
    <x v="4"/>
    <x v="38"/>
    <n v="21"/>
    <x v="3"/>
    <x v="0"/>
    <n v="1"/>
    <x v="2"/>
    <s v="Average"/>
    <x v="0"/>
  </r>
  <r>
    <n v="70232"/>
    <x v="0"/>
    <x v="1"/>
    <x v="1"/>
    <x v="70"/>
    <x v="0"/>
    <x v="1"/>
    <x v="27"/>
    <n v="88"/>
    <x v="4"/>
    <x v="2"/>
    <n v="4"/>
    <x v="6"/>
    <s v="Average"/>
    <x v="1"/>
  </r>
  <r>
    <n v="70061"/>
    <x v="1"/>
    <x v="1"/>
    <x v="0"/>
    <x v="71"/>
    <x v="0"/>
    <x v="0"/>
    <x v="18"/>
    <n v="48"/>
    <x v="0"/>
    <x v="0"/>
    <n v="4"/>
    <x v="0"/>
    <s v="Good"/>
    <x v="1"/>
  </r>
  <r>
    <n v="70072"/>
    <x v="1"/>
    <x v="0"/>
    <x v="0"/>
    <x v="72"/>
    <x v="0"/>
    <x v="4"/>
    <x v="35"/>
    <n v="22"/>
    <x v="4"/>
    <x v="2"/>
    <n v="1"/>
    <x v="1"/>
    <s v="Poor"/>
    <x v="1"/>
  </r>
  <r>
    <n v="70064"/>
    <x v="1"/>
    <x v="0"/>
    <x v="2"/>
    <x v="73"/>
    <x v="0"/>
    <x v="1"/>
    <x v="39"/>
    <n v="95"/>
    <x v="1"/>
    <x v="0"/>
    <n v="2"/>
    <x v="0"/>
    <s v="Good"/>
    <x v="1"/>
  </r>
  <r>
    <n v="70137"/>
    <x v="1"/>
    <x v="0"/>
    <x v="2"/>
    <x v="74"/>
    <x v="0"/>
    <x v="3"/>
    <x v="7"/>
    <n v="8"/>
    <x v="2"/>
    <x v="0"/>
    <n v="2"/>
    <x v="4"/>
    <s v="Average"/>
    <x v="1"/>
  </r>
  <r>
    <n v="70094"/>
    <x v="0"/>
    <x v="1"/>
    <x v="0"/>
    <x v="75"/>
    <x v="2"/>
    <x v="3"/>
    <x v="40"/>
    <n v="3"/>
    <x v="1"/>
    <x v="4"/>
    <n v="4"/>
    <x v="6"/>
    <s v="Average"/>
    <x v="0"/>
  </r>
  <r>
    <n v="70192"/>
    <x v="0"/>
    <x v="1"/>
    <x v="2"/>
    <x v="76"/>
    <x v="0"/>
    <x v="0"/>
    <x v="6"/>
    <n v="46"/>
    <x v="2"/>
    <x v="2"/>
    <n v="4"/>
    <x v="3"/>
    <s v="Poor"/>
    <x v="0"/>
  </r>
  <r>
    <n v="70229"/>
    <x v="0"/>
    <x v="1"/>
    <x v="0"/>
    <x v="77"/>
    <x v="2"/>
    <x v="0"/>
    <x v="18"/>
    <n v="48"/>
    <x v="4"/>
    <x v="3"/>
    <n v="3"/>
    <x v="5"/>
    <s v="Good"/>
    <x v="1"/>
  </r>
  <r>
    <n v="70208"/>
    <x v="0"/>
    <x v="0"/>
    <x v="0"/>
    <x v="78"/>
    <x v="2"/>
    <x v="2"/>
    <x v="4"/>
    <n v="0"/>
    <x v="3"/>
    <x v="3"/>
    <n v="4"/>
    <x v="0"/>
    <s v="Good"/>
    <x v="1"/>
  </r>
  <r>
    <n v="70189"/>
    <x v="0"/>
    <x v="0"/>
    <x v="2"/>
    <x v="79"/>
    <x v="2"/>
    <x v="4"/>
    <x v="38"/>
    <n v="21"/>
    <x v="4"/>
    <x v="0"/>
    <n v="4"/>
    <x v="10"/>
    <s v="Good"/>
    <x v="1"/>
  </r>
  <r>
    <n v="70046"/>
    <x v="1"/>
    <x v="0"/>
    <x v="2"/>
    <x v="80"/>
    <x v="2"/>
    <x v="4"/>
    <x v="36"/>
    <n v="16"/>
    <x v="4"/>
    <x v="1"/>
    <n v="2"/>
    <x v="6"/>
    <s v="Average"/>
    <x v="0"/>
  </r>
  <r>
    <n v="70026"/>
    <x v="1"/>
    <x v="1"/>
    <x v="2"/>
    <x v="81"/>
    <x v="2"/>
    <x v="4"/>
    <x v="38"/>
    <n v="21"/>
    <x v="2"/>
    <x v="3"/>
    <n v="4"/>
    <x v="2"/>
    <s v="Average"/>
    <x v="1"/>
  </r>
  <r>
    <n v="70224"/>
    <x v="0"/>
    <x v="1"/>
    <x v="2"/>
    <x v="82"/>
    <x v="2"/>
    <x v="4"/>
    <x v="25"/>
    <n v="20"/>
    <x v="0"/>
    <x v="4"/>
    <n v="5"/>
    <x v="2"/>
    <s v="Average"/>
    <x v="1"/>
  </r>
  <r>
    <n v="70171"/>
    <x v="1"/>
    <x v="0"/>
    <x v="2"/>
    <x v="83"/>
    <x v="0"/>
    <x v="4"/>
    <x v="41"/>
    <n v="11"/>
    <x v="4"/>
    <x v="0"/>
    <n v="5"/>
    <x v="11"/>
    <s v="Good"/>
    <x v="0"/>
  </r>
  <r>
    <n v="70074"/>
    <x v="0"/>
    <x v="0"/>
    <x v="2"/>
    <x v="84"/>
    <x v="1"/>
    <x v="3"/>
    <x v="2"/>
    <n v="9"/>
    <x v="0"/>
    <x v="1"/>
    <n v="1"/>
    <x v="3"/>
    <s v="Poor"/>
    <x v="1"/>
  </r>
  <r>
    <n v="70020"/>
    <x v="0"/>
    <x v="0"/>
    <x v="2"/>
    <x v="85"/>
    <x v="0"/>
    <x v="2"/>
    <x v="4"/>
    <n v="0"/>
    <x v="4"/>
    <x v="1"/>
    <n v="2"/>
    <x v="6"/>
    <s v="Average"/>
    <x v="0"/>
  </r>
  <r>
    <n v="70222"/>
    <x v="1"/>
    <x v="1"/>
    <x v="0"/>
    <x v="86"/>
    <x v="1"/>
    <x v="2"/>
    <x v="2"/>
    <n v="9"/>
    <x v="3"/>
    <x v="1"/>
    <n v="2"/>
    <x v="4"/>
    <s v="Average"/>
    <x v="0"/>
  </r>
  <r>
    <n v="70010"/>
    <x v="0"/>
    <x v="0"/>
    <x v="0"/>
    <x v="87"/>
    <x v="2"/>
    <x v="0"/>
    <x v="34"/>
    <n v="40"/>
    <x v="1"/>
    <x v="2"/>
    <n v="3"/>
    <x v="4"/>
    <s v="Average"/>
    <x v="0"/>
  </r>
  <r>
    <n v="70059"/>
    <x v="0"/>
    <x v="0"/>
    <x v="1"/>
    <x v="88"/>
    <x v="0"/>
    <x v="3"/>
    <x v="33"/>
    <n v="7"/>
    <x v="4"/>
    <x v="4"/>
    <n v="3"/>
    <x v="6"/>
    <s v="Average"/>
    <x v="0"/>
  </r>
  <r>
    <n v="70135"/>
    <x v="0"/>
    <x v="0"/>
    <x v="0"/>
    <x v="89"/>
    <x v="0"/>
    <x v="4"/>
    <x v="42"/>
    <n v="23"/>
    <x v="1"/>
    <x v="0"/>
    <n v="3"/>
    <x v="5"/>
    <s v="Good"/>
    <x v="1"/>
  </r>
  <r>
    <n v="70037"/>
    <x v="1"/>
    <x v="0"/>
    <x v="1"/>
    <x v="90"/>
    <x v="0"/>
    <x v="2"/>
    <x v="12"/>
    <n v="6"/>
    <x v="1"/>
    <x v="2"/>
    <n v="3"/>
    <x v="4"/>
    <s v="Average"/>
    <x v="1"/>
  </r>
  <r>
    <n v="70099"/>
    <x v="0"/>
    <x v="1"/>
    <x v="1"/>
    <x v="91"/>
    <x v="2"/>
    <x v="1"/>
    <x v="39"/>
    <n v="95"/>
    <x v="1"/>
    <x v="4"/>
    <n v="3"/>
    <x v="2"/>
    <s v="Average"/>
    <x v="1"/>
  </r>
  <r>
    <n v="70249"/>
    <x v="0"/>
    <x v="1"/>
    <x v="1"/>
    <x v="92"/>
    <x v="0"/>
    <x v="1"/>
    <x v="20"/>
    <n v="89"/>
    <x v="0"/>
    <x v="4"/>
    <n v="5"/>
    <x v="2"/>
    <s v="Average"/>
    <x v="0"/>
  </r>
  <r>
    <n v="70114"/>
    <x v="0"/>
    <x v="1"/>
    <x v="0"/>
    <x v="93"/>
    <x v="1"/>
    <x v="1"/>
    <x v="43"/>
    <n v="65"/>
    <x v="0"/>
    <x v="0"/>
    <n v="3"/>
    <x v="6"/>
    <s v="Average"/>
    <x v="1"/>
  </r>
  <r>
    <n v="70149"/>
    <x v="0"/>
    <x v="0"/>
    <x v="2"/>
    <x v="94"/>
    <x v="0"/>
    <x v="3"/>
    <x v="23"/>
    <n v="1"/>
    <x v="1"/>
    <x v="3"/>
    <n v="3"/>
    <x v="0"/>
    <s v="Good"/>
    <x v="0"/>
  </r>
  <r>
    <n v="70069"/>
    <x v="1"/>
    <x v="0"/>
    <x v="1"/>
    <x v="95"/>
    <x v="0"/>
    <x v="1"/>
    <x v="31"/>
    <n v="97"/>
    <x v="0"/>
    <x v="2"/>
    <n v="1"/>
    <x v="8"/>
    <s v="Poor"/>
    <x v="1"/>
  </r>
  <r>
    <n v="70220"/>
    <x v="0"/>
    <x v="1"/>
    <x v="0"/>
    <x v="96"/>
    <x v="0"/>
    <x v="4"/>
    <x v="44"/>
    <n v="25"/>
    <x v="2"/>
    <x v="3"/>
    <n v="4"/>
    <x v="2"/>
    <s v="Average"/>
    <x v="1"/>
  </r>
  <r>
    <n v="70151"/>
    <x v="1"/>
    <x v="1"/>
    <x v="0"/>
    <x v="97"/>
    <x v="0"/>
    <x v="3"/>
    <x v="13"/>
    <n v="4"/>
    <x v="3"/>
    <x v="3"/>
    <n v="2"/>
    <x v="2"/>
    <s v="Average"/>
    <x v="1"/>
  </r>
  <r>
    <n v="70139"/>
    <x v="0"/>
    <x v="1"/>
    <x v="2"/>
    <x v="98"/>
    <x v="2"/>
    <x v="3"/>
    <x v="2"/>
    <n v="9"/>
    <x v="3"/>
    <x v="2"/>
    <n v="5"/>
    <x v="2"/>
    <s v="Average"/>
    <x v="0"/>
  </r>
  <r>
    <n v="70009"/>
    <x v="0"/>
    <x v="1"/>
    <x v="0"/>
    <x v="99"/>
    <x v="2"/>
    <x v="1"/>
    <x v="3"/>
    <n v="90"/>
    <x v="1"/>
    <x v="2"/>
    <n v="3"/>
    <x v="4"/>
    <s v="Average"/>
    <x v="0"/>
  </r>
  <r>
    <n v="70225"/>
    <x v="0"/>
    <x v="1"/>
    <x v="2"/>
    <x v="100"/>
    <x v="0"/>
    <x v="1"/>
    <x v="45"/>
    <n v="93"/>
    <x v="3"/>
    <x v="3"/>
    <n v="4"/>
    <x v="0"/>
    <s v="Good"/>
    <x v="1"/>
  </r>
  <r>
    <n v="70122"/>
    <x v="1"/>
    <x v="0"/>
    <x v="0"/>
    <x v="101"/>
    <x v="2"/>
    <x v="1"/>
    <x v="37"/>
    <n v="99"/>
    <x v="1"/>
    <x v="4"/>
    <n v="2"/>
    <x v="4"/>
    <s v="Average"/>
    <x v="0"/>
  </r>
  <r>
    <n v="70019"/>
    <x v="0"/>
    <x v="1"/>
    <x v="0"/>
    <x v="102"/>
    <x v="0"/>
    <x v="4"/>
    <x v="5"/>
    <n v="14"/>
    <x v="2"/>
    <x v="1"/>
    <n v="2"/>
    <x v="3"/>
    <s v="Poor"/>
    <x v="0"/>
  </r>
  <r>
    <n v="70180"/>
    <x v="1"/>
    <x v="1"/>
    <x v="1"/>
    <x v="103"/>
    <x v="0"/>
    <x v="0"/>
    <x v="18"/>
    <n v="48"/>
    <x v="4"/>
    <x v="2"/>
    <n v="1"/>
    <x v="1"/>
    <s v="Poor"/>
    <x v="1"/>
  </r>
  <r>
    <n v="70100"/>
    <x v="1"/>
    <x v="0"/>
    <x v="0"/>
    <x v="104"/>
    <x v="0"/>
    <x v="4"/>
    <x v="46"/>
    <n v="15"/>
    <x v="0"/>
    <x v="1"/>
    <n v="5"/>
    <x v="6"/>
    <s v="Average"/>
    <x v="0"/>
  </r>
  <r>
    <n v="70134"/>
    <x v="1"/>
    <x v="0"/>
    <x v="1"/>
    <x v="105"/>
    <x v="0"/>
    <x v="2"/>
    <x v="13"/>
    <n v="4"/>
    <x v="0"/>
    <x v="0"/>
    <n v="5"/>
    <x v="5"/>
    <s v="Good"/>
    <x v="1"/>
  </r>
  <r>
    <n v="70181"/>
    <x v="0"/>
    <x v="1"/>
    <x v="1"/>
    <x v="106"/>
    <x v="2"/>
    <x v="4"/>
    <x v="25"/>
    <n v="20"/>
    <x v="4"/>
    <x v="2"/>
    <n v="1"/>
    <x v="1"/>
    <s v="Poor"/>
    <x v="1"/>
  </r>
  <r>
    <n v="70242"/>
    <x v="1"/>
    <x v="1"/>
    <x v="1"/>
    <x v="107"/>
    <x v="0"/>
    <x v="0"/>
    <x v="16"/>
    <n v="43"/>
    <x v="1"/>
    <x v="4"/>
    <n v="1"/>
    <x v="1"/>
    <s v="Poor"/>
    <x v="0"/>
  </r>
  <r>
    <n v="70103"/>
    <x v="1"/>
    <x v="1"/>
    <x v="2"/>
    <x v="108"/>
    <x v="2"/>
    <x v="0"/>
    <x v="47"/>
    <n v="47"/>
    <x v="0"/>
    <x v="3"/>
    <n v="2"/>
    <x v="4"/>
    <s v="Average"/>
    <x v="1"/>
  </r>
  <r>
    <n v="70090"/>
    <x v="1"/>
    <x v="0"/>
    <x v="1"/>
    <x v="109"/>
    <x v="0"/>
    <x v="0"/>
    <x v="48"/>
    <n v="36"/>
    <x v="2"/>
    <x v="3"/>
    <n v="1"/>
    <x v="3"/>
    <s v="Poor"/>
    <x v="0"/>
  </r>
  <r>
    <n v="70053"/>
    <x v="1"/>
    <x v="0"/>
    <x v="0"/>
    <x v="110"/>
    <x v="2"/>
    <x v="2"/>
    <x v="4"/>
    <n v="0"/>
    <x v="4"/>
    <x v="3"/>
    <n v="3"/>
    <x v="5"/>
    <s v="Good"/>
    <x v="1"/>
  </r>
  <r>
    <n v="70108"/>
    <x v="1"/>
    <x v="0"/>
    <x v="2"/>
    <x v="111"/>
    <x v="0"/>
    <x v="2"/>
    <x v="4"/>
    <n v="0"/>
    <x v="1"/>
    <x v="0"/>
    <n v="4"/>
    <x v="9"/>
    <s v="Good"/>
    <x v="0"/>
  </r>
  <r>
    <n v="70185"/>
    <x v="0"/>
    <x v="1"/>
    <x v="0"/>
    <x v="112"/>
    <x v="1"/>
    <x v="2"/>
    <x v="28"/>
    <n v="2"/>
    <x v="4"/>
    <x v="4"/>
    <n v="5"/>
    <x v="5"/>
    <s v="Good"/>
    <x v="1"/>
  </r>
  <r>
    <n v="70065"/>
    <x v="1"/>
    <x v="1"/>
    <x v="0"/>
    <x v="113"/>
    <x v="2"/>
    <x v="2"/>
    <x v="7"/>
    <n v="8"/>
    <x v="3"/>
    <x v="3"/>
    <n v="1"/>
    <x v="4"/>
    <s v="Average"/>
    <x v="1"/>
  </r>
  <r>
    <n v="70000"/>
    <x v="0"/>
    <x v="1"/>
    <x v="1"/>
    <x v="114"/>
    <x v="0"/>
    <x v="1"/>
    <x v="49"/>
    <n v="67"/>
    <x v="3"/>
    <x v="4"/>
    <n v="2"/>
    <x v="1"/>
    <s v="Poor"/>
    <x v="0"/>
  </r>
  <r>
    <n v="70212"/>
    <x v="1"/>
    <x v="0"/>
    <x v="1"/>
    <x v="115"/>
    <x v="0"/>
    <x v="4"/>
    <x v="42"/>
    <n v="23"/>
    <x v="0"/>
    <x v="4"/>
    <n v="2"/>
    <x v="3"/>
    <s v="Poor"/>
    <x v="1"/>
  </r>
  <r>
    <n v="70050"/>
    <x v="0"/>
    <x v="1"/>
    <x v="2"/>
    <x v="116"/>
    <x v="0"/>
    <x v="2"/>
    <x v="2"/>
    <n v="9"/>
    <x v="1"/>
    <x v="1"/>
    <n v="3"/>
    <x v="6"/>
    <s v="Average"/>
    <x v="0"/>
  </r>
  <r>
    <n v="70023"/>
    <x v="1"/>
    <x v="1"/>
    <x v="1"/>
    <x v="117"/>
    <x v="0"/>
    <x v="2"/>
    <x v="28"/>
    <n v="2"/>
    <x v="3"/>
    <x v="4"/>
    <n v="3"/>
    <x v="4"/>
    <s v="Average"/>
    <x v="1"/>
  </r>
  <r>
    <n v="70178"/>
    <x v="0"/>
    <x v="0"/>
    <x v="1"/>
    <x v="118"/>
    <x v="0"/>
    <x v="4"/>
    <x v="11"/>
    <n v="19"/>
    <x v="3"/>
    <x v="1"/>
    <n v="1"/>
    <x v="1"/>
    <s v="Poor"/>
    <x v="0"/>
  </r>
  <r>
    <n v="70247"/>
    <x v="1"/>
    <x v="0"/>
    <x v="2"/>
    <x v="119"/>
    <x v="0"/>
    <x v="4"/>
    <x v="50"/>
    <n v="98"/>
    <x v="3"/>
    <x v="0"/>
    <n v="3"/>
    <x v="0"/>
    <s v="Good"/>
    <x v="0"/>
  </r>
  <r>
    <n v="70241"/>
    <x v="0"/>
    <x v="0"/>
    <x v="1"/>
    <x v="120"/>
    <x v="0"/>
    <x v="0"/>
    <x v="51"/>
    <n v="35"/>
    <x v="4"/>
    <x v="1"/>
    <n v="3"/>
    <x v="0"/>
    <s v="Good"/>
    <x v="0"/>
  </r>
  <r>
    <n v="70016"/>
    <x v="1"/>
    <x v="1"/>
    <x v="1"/>
    <x v="121"/>
    <x v="0"/>
    <x v="4"/>
    <x v="5"/>
    <n v="14"/>
    <x v="4"/>
    <x v="3"/>
    <n v="4"/>
    <x v="9"/>
    <s v="Good"/>
    <x v="1"/>
  </r>
  <r>
    <n v="70086"/>
    <x v="1"/>
    <x v="0"/>
    <x v="0"/>
    <x v="122"/>
    <x v="0"/>
    <x v="1"/>
    <x v="20"/>
    <n v="89"/>
    <x v="3"/>
    <x v="0"/>
    <n v="1"/>
    <x v="2"/>
    <s v="Average"/>
    <x v="1"/>
  </r>
  <r>
    <n v="70206"/>
    <x v="0"/>
    <x v="0"/>
    <x v="0"/>
    <x v="123"/>
    <x v="0"/>
    <x v="1"/>
    <x v="52"/>
    <n v="85"/>
    <x v="4"/>
    <x v="2"/>
    <n v="3"/>
    <x v="2"/>
    <s v="Average"/>
    <x v="1"/>
  </r>
  <r>
    <n v="70012"/>
    <x v="0"/>
    <x v="1"/>
    <x v="0"/>
    <x v="124"/>
    <x v="0"/>
    <x v="1"/>
    <x v="53"/>
    <n v="96"/>
    <x v="0"/>
    <x v="4"/>
    <n v="1"/>
    <x v="7"/>
    <s v="Poor"/>
    <x v="1"/>
  </r>
  <r>
    <n v="70096"/>
    <x v="0"/>
    <x v="0"/>
    <x v="0"/>
    <x v="125"/>
    <x v="2"/>
    <x v="4"/>
    <x v="44"/>
    <n v="25"/>
    <x v="4"/>
    <x v="0"/>
    <n v="5"/>
    <x v="11"/>
    <s v="Good"/>
    <x v="1"/>
  </r>
  <r>
    <n v="70081"/>
    <x v="0"/>
    <x v="0"/>
    <x v="2"/>
    <x v="126"/>
    <x v="2"/>
    <x v="2"/>
    <x v="40"/>
    <n v="3"/>
    <x v="1"/>
    <x v="4"/>
    <n v="2"/>
    <x v="4"/>
    <s v="Average"/>
    <x v="1"/>
  </r>
  <r>
    <n v="70041"/>
    <x v="0"/>
    <x v="0"/>
    <x v="2"/>
    <x v="127"/>
    <x v="1"/>
    <x v="3"/>
    <x v="46"/>
    <n v="15"/>
    <x v="2"/>
    <x v="4"/>
    <n v="1"/>
    <x v="8"/>
    <s v="Poor"/>
    <x v="0"/>
  </r>
  <r>
    <n v="70043"/>
    <x v="0"/>
    <x v="0"/>
    <x v="0"/>
    <x v="128"/>
    <x v="0"/>
    <x v="2"/>
    <x v="7"/>
    <n v="8"/>
    <x v="4"/>
    <x v="3"/>
    <n v="4"/>
    <x v="9"/>
    <s v="Good"/>
    <x v="1"/>
  </r>
  <r>
    <n v="70194"/>
    <x v="1"/>
    <x v="1"/>
    <x v="2"/>
    <x v="129"/>
    <x v="0"/>
    <x v="2"/>
    <x v="33"/>
    <n v="7"/>
    <x v="1"/>
    <x v="2"/>
    <n v="3"/>
    <x v="4"/>
    <s v="Average"/>
    <x v="0"/>
  </r>
  <r>
    <n v="70138"/>
    <x v="0"/>
    <x v="0"/>
    <x v="1"/>
    <x v="130"/>
    <x v="2"/>
    <x v="4"/>
    <x v="54"/>
    <n v="24"/>
    <x v="4"/>
    <x v="1"/>
    <n v="2"/>
    <x v="6"/>
    <s v="Average"/>
    <x v="1"/>
  </r>
  <r>
    <n v="70191"/>
    <x v="1"/>
    <x v="1"/>
    <x v="2"/>
    <x v="65"/>
    <x v="0"/>
    <x v="3"/>
    <x v="33"/>
    <n v="7"/>
    <x v="2"/>
    <x v="1"/>
    <n v="4"/>
    <x v="4"/>
    <s v="Average"/>
    <x v="0"/>
  </r>
  <r>
    <n v="70152"/>
    <x v="1"/>
    <x v="1"/>
    <x v="0"/>
    <x v="131"/>
    <x v="2"/>
    <x v="2"/>
    <x v="20"/>
    <n v="89"/>
    <x v="3"/>
    <x v="3"/>
    <n v="1"/>
    <x v="4"/>
    <s v="Average"/>
    <x v="1"/>
  </r>
  <r>
    <n v="70174"/>
    <x v="1"/>
    <x v="0"/>
    <x v="2"/>
    <x v="132"/>
    <x v="0"/>
    <x v="2"/>
    <x v="40"/>
    <n v="3"/>
    <x v="4"/>
    <x v="0"/>
    <n v="3"/>
    <x v="9"/>
    <s v="Good"/>
    <x v="0"/>
  </r>
  <r>
    <n v="70209"/>
    <x v="0"/>
    <x v="1"/>
    <x v="0"/>
    <x v="133"/>
    <x v="1"/>
    <x v="3"/>
    <x v="23"/>
    <n v="1"/>
    <x v="1"/>
    <x v="0"/>
    <n v="3"/>
    <x v="5"/>
    <s v="Good"/>
    <x v="1"/>
  </r>
  <r>
    <n v="70177"/>
    <x v="0"/>
    <x v="0"/>
    <x v="2"/>
    <x v="134"/>
    <x v="2"/>
    <x v="0"/>
    <x v="24"/>
    <n v="44"/>
    <x v="4"/>
    <x v="0"/>
    <n v="2"/>
    <x v="5"/>
    <s v="Good"/>
    <x v="0"/>
  </r>
  <r>
    <n v="70038"/>
    <x v="1"/>
    <x v="0"/>
    <x v="1"/>
    <x v="135"/>
    <x v="0"/>
    <x v="2"/>
    <x v="55"/>
    <n v="27"/>
    <x v="4"/>
    <x v="2"/>
    <n v="2"/>
    <x v="4"/>
    <s v="Average"/>
    <x v="0"/>
  </r>
  <r>
    <n v="70125"/>
    <x v="0"/>
    <x v="1"/>
    <x v="0"/>
    <x v="136"/>
    <x v="1"/>
    <x v="3"/>
    <x v="28"/>
    <n v="2"/>
    <x v="0"/>
    <x v="4"/>
    <n v="5"/>
    <x v="2"/>
    <s v="Average"/>
    <x v="0"/>
  </r>
  <r>
    <n v="70159"/>
    <x v="1"/>
    <x v="0"/>
    <x v="1"/>
    <x v="137"/>
    <x v="0"/>
    <x v="2"/>
    <x v="12"/>
    <n v="6"/>
    <x v="4"/>
    <x v="2"/>
    <n v="4"/>
    <x v="6"/>
    <s v="Average"/>
    <x v="1"/>
  </r>
  <r>
    <n v="70052"/>
    <x v="0"/>
    <x v="0"/>
    <x v="0"/>
    <x v="138"/>
    <x v="2"/>
    <x v="4"/>
    <x v="25"/>
    <n v="20"/>
    <x v="2"/>
    <x v="2"/>
    <n v="4"/>
    <x v="3"/>
    <s v="Poor"/>
    <x v="0"/>
  </r>
  <r>
    <n v="70165"/>
    <x v="1"/>
    <x v="1"/>
    <x v="1"/>
    <x v="139"/>
    <x v="0"/>
    <x v="2"/>
    <x v="4"/>
    <n v="0"/>
    <x v="4"/>
    <x v="2"/>
    <n v="3"/>
    <x v="2"/>
    <s v="Average"/>
    <x v="1"/>
  </r>
  <r>
    <n v="70093"/>
    <x v="1"/>
    <x v="1"/>
    <x v="0"/>
    <x v="140"/>
    <x v="2"/>
    <x v="4"/>
    <x v="26"/>
    <n v="17"/>
    <x v="4"/>
    <x v="3"/>
    <n v="2"/>
    <x v="0"/>
    <s v="Good"/>
    <x v="0"/>
  </r>
  <r>
    <n v="70001"/>
    <x v="1"/>
    <x v="0"/>
    <x v="1"/>
    <x v="141"/>
    <x v="0"/>
    <x v="2"/>
    <x v="4"/>
    <n v="0"/>
    <x v="3"/>
    <x v="2"/>
    <n v="3"/>
    <x v="1"/>
    <s v="Poor"/>
    <x v="0"/>
  </r>
  <r>
    <n v="70060"/>
    <x v="1"/>
    <x v="0"/>
    <x v="2"/>
    <x v="142"/>
    <x v="0"/>
    <x v="0"/>
    <x v="16"/>
    <n v="43"/>
    <x v="2"/>
    <x v="0"/>
    <n v="5"/>
    <x v="0"/>
    <s v="Good"/>
    <x v="1"/>
  </r>
  <r>
    <n v="70085"/>
    <x v="0"/>
    <x v="0"/>
    <x v="2"/>
    <x v="143"/>
    <x v="2"/>
    <x v="0"/>
    <x v="48"/>
    <n v="36"/>
    <x v="1"/>
    <x v="1"/>
    <n v="5"/>
    <x v="5"/>
    <s v="Good"/>
    <x v="0"/>
  </r>
  <r>
    <n v="70173"/>
    <x v="1"/>
    <x v="1"/>
    <x v="0"/>
    <x v="144"/>
    <x v="2"/>
    <x v="1"/>
    <x v="27"/>
    <n v="88"/>
    <x v="2"/>
    <x v="0"/>
    <n v="5"/>
    <x v="0"/>
    <s v="Good"/>
    <x v="0"/>
  </r>
  <r>
    <n v="70221"/>
    <x v="1"/>
    <x v="1"/>
    <x v="0"/>
    <x v="145"/>
    <x v="0"/>
    <x v="3"/>
    <x v="7"/>
    <n v="8"/>
    <x v="1"/>
    <x v="2"/>
    <n v="4"/>
    <x v="2"/>
    <s v="Average"/>
    <x v="1"/>
  </r>
  <r>
    <n v="70193"/>
    <x v="0"/>
    <x v="1"/>
    <x v="2"/>
    <x v="146"/>
    <x v="0"/>
    <x v="1"/>
    <x v="20"/>
    <n v="89"/>
    <x v="4"/>
    <x v="4"/>
    <n v="4"/>
    <x v="0"/>
    <s v="Good"/>
    <x v="0"/>
  </r>
  <r>
    <n v="70098"/>
    <x v="0"/>
    <x v="0"/>
    <x v="1"/>
    <x v="147"/>
    <x v="0"/>
    <x v="3"/>
    <x v="5"/>
    <n v="14"/>
    <x v="1"/>
    <x v="1"/>
    <n v="5"/>
    <x v="5"/>
    <s v="Good"/>
    <x v="1"/>
  </r>
  <r>
    <n v="70076"/>
    <x v="1"/>
    <x v="0"/>
    <x v="2"/>
    <x v="148"/>
    <x v="0"/>
    <x v="4"/>
    <x v="46"/>
    <n v="15"/>
    <x v="0"/>
    <x v="4"/>
    <n v="2"/>
    <x v="3"/>
    <s v="Poor"/>
    <x v="1"/>
  </r>
  <r>
    <n v="70198"/>
    <x v="1"/>
    <x v="0"/>
    <x v="0"/>
    <x v="149"/>
    <x v="2"/>
    <x v="2"/>
    <x v="17"/>
    <n v="10"/>
    <x v="1"/>
    <x v="4"/>
    <n v="4"/>
    <x v="6"/>
    <s v="Average"/>
    <x v="0"/>
  </r>
  <r>
    <n v="70217"/>
    <x v="0"/>
    <x v="1"/>
    <x v="1"/>
    <x v="150"/>
    <x v="0"/>
    <x v="3"/>
    <x v="4"/>
    <n v="0"/>
    <x v="2"/>
    <x v="1"/>
    <n v="4"/>
    <x v="4"/>
    <s v="Average"/>
    <x v="1"/>
  </r>
  <r>
    <n v="70112"/>
    <x v="1"/>
    <x v="0"/>
    <x v="1"/>
    <x v="151"/>
    <x v="0"/>
    <x v="4"/>
    <x v="9"/>
    <n v="13"/>
    <x v="4"/>
    <x v="3"/>
    <n v="2"/>
    <x v="0"/>
    <s v="Good"/>
    <x v="1"/>
  </r>
  <r>
    <n v="70186"/>
    <x v="1"/>
    <x v="0"/>
    <x v="2"/>
    <x v="152"/>
    <x v="2"/>
    <x v="3"/>
    <x v="33"/>
    <n v="7"/>
    <x v="1"/>
    <x v="2"/>
    <n v="5"/>
    <x v="6"/>
    <s v="Average"/>
    <x v="1"/>
  </r>
  <r>
    <n v="70214"/>
    <x v="0"/>
    <x v="0"/>
    <x v="0"/>
    <x v="153"/>
    <x v="1"/>
    <x v="0"/>
    <x v="14"/>
    <n v="41"/>
    <x v="3"/>
    <x v="3"/>
    <n v="5"/>
    <x v="5"/>
    <s v="Good"/>
    <x v="1"/>
  </r>
  <r>
    <n v="70078"/>
    <x v="0"/>
    <x v="1"/>
    <x v="1"/>
    <x v="154"/>
    <x v="1"/>
    <x v="2"/>
    <x v="28"/>
    <n v="2"/>
    <x v="0"/>
    <x v="1"/>
    <n v="4"/>
    <x v="2"/>
    <s v="Average"/>
    <x v="1"/>
  </r>
  <r>
    <n v="70011"/>
    <x v="1"/>
    <x v="0"/>
    <x v="2"/>
    <x v="155"/>
    <x v="0"/>
    <x v="2"/>
    <x v="7"/>
    <n v="8"/>
    <x v="0"/>
    <x v="3"/>
    <n v="2"/>
    <x v="4"/>
    <s v="Average"/>
    <x v="1"/>
  </r>
  <r>
    <n v="70097"/>
    <x v="0"/>
    <x v="1"/>
    <x v="2"/>
    <x v="112"/>
    <x v="1"/>
    <x v="2"/>
    <x v="12"/>
    <n v="6"/>
    <x v="4"/>
    <x v="3"/>
    <n v="5"/>
    <x v="10"/>
    <s v="Good"/>
    <x v="1"/>
  </r>
  <r>
    <n v="70240"/>
    <x v="0"/>
    <x v="1"/>
    <x v="0"/>
    <x v="156"/>
    <x v="2"/>
    <x v="1"/>
    <x v="20"/>
    <n v="89"/>
    <x v="1"/>
    <x v="4"/>
    <n v="4"/>
    <x v="6"/>
    <s v="Average"/>
    <x v="0"/>
  </r>
  <r>
    <n v="70066"/>
    <x v="0"/>
    <x v="1"/>
    <x v="0"/>
    <x v="157"/>
    <x v="0"/>
    <x v="2"/>
    <x v="12"/>
    <n v="6"/>
    <x v="2"/>
    <x v="4"/>
    <n v="1"/>
    <x v="8"/>
    <s v="Poor"/>
    <x v="0"/>
  </r>
  <r>
    <n v="70057"/>
    <x v="1"/>
    <x v="1"/>
    <x v="0"/>
    <x v="158"/>
    <x v="0"/>
    <x v="0"/>
    <x v="56"/>
    <n v="45"/>
    <x v="4"/>
    <x v="3"/>
    <n v="3"/>
    <x v="5"/>
    <s v="Good"/>
    <x v="0"/>
  </r>
  <r>
    <n v="70211"/>
    <x v="0"/>
    <x v="0"/>
    <x v="1"/>
    <x v="82"/>
    <x v="2"/>
    <x v="1"/>
    <x v="45"/>
    <n v="93"/>
    <x v="4"/>
    <x v="3"/>
    <n v="1"/>
    <x v="6"/>
    <s v="Average"/>
    <x v="1"/>
  </r>
  <r>
    <n v="70111"/>
    <x v="1"/>
    <x v="0"/>
    <x v="1"/>
    <x v="159"/>
    <x v="2"/>
    <x v="0"/>
    <x v="56"/>
    <n v="45"/>
    <x v="4"/>
    <x v="1"/>
    <n v="4"/>
    <x v="5"/>
    <s v="Good"/>
    <x v="1"/>
  </r>
  <r>
    <n v="70008"/>
    <x v="0"/>
    <x v="0"/>
    <x v="2"/>
    <x v="160"/>
    <x v="2"/>
    <x v="4"/>
    <x v="26"/>
    <n v="17"/>
    <x v="2"/>
    <x v="3"/>
    <n v="3"/>
    <x v="4"/>
    <s v="Average"/>
    <x v="0"/>
  </r>
  <r>
    <n v="70088"/>
    <x v="0"/>
    <x v="1"/>
    <x v="1"/>
    <x v="161"/>
    <x v="0"/>
    <x v="4"/>
    <x v="36"/>
    <n v="16"/>
    <x v="1"/>
    <x v="0"/>
    <n v="1"/>
    <x v="6"/>
    <s v="Average"/>
    <x v="0"/>
  </r>
  <r>
    <n v="70245"/>
    <x v="0"/>
    <x v="0"/>
    <x v="1"/>
    <x v="162"/>
    <x v="0"/>
    <x v="3"/>
    <x v="2"/>
    <n v="9"/>
    <x v="0"/>
    <x v="2"/>
    <n v="2"/>
    <x v="7"/>
    <s v="Poor"/>
    <x v="1"/>
  </r>
  <r>
    <n v="70095"/>
    <x v="1"/>
    <x v="0"/>
    <x v="1"/>
    <x v="163"/>
    <x v="2"/>
    <x v="3"/>
    <x v="12"/>
    <n v="6"/>
    <x v="2"/>
    <x v="0"/>
    <n v="2"/>
    <x v="4"/>
    <s v="Average"/>
    <x v="1"/>
  </r>
  <r>
    <n v="70136"/>
    <x v="1"/>
    <x v="0"/>
    <x v="0"/>
    <x v="164"/>
    <x v="1"/>
    <x v="4"/>
    <x v="17"/>
    <n v="10"/>
    <x v="4"/>
    <x v="0"/>
    <n v="4"/>
    <x v="10"/>
    <s v="Good"/>
    <x v="0"/>
  </r>
  <r>
    <n v="70196"/>
    <x v="1"/>
    <x v="1"/>
    <x v="0"/>
    <x v="165"/>
    <x v="0"/>
    <x v="1"/>
    <x v="3"/>
    <n v="90"/>
    <x v="3"/>
    <x v="0"/>
    <n v="3"/>
    <x v="0"/>
    <s v="Good"/>
    <x v="0"/>
  </r>
  <r>
    <n v="70167"/>
    <x v="1"/>
    <x v="1"/>
    <x v="2"/>
    <x v="166"/>
    <x v="0"/>
    <x v="1"/>
    <x v="39"/>
    <n v="95"/>
    <x v="0"/>
    <x v="1"/>
    <n v="2"/>
    <x v="1"/>
    <s v="Poor"/>
    <x v="1"/>
  </r>
  <r>
    <n v="70183"/>
    <x v="0"/>
    <x v="0"/>
    <x v="1"/>
    <x v="167"/>
    <x v="2"/>
    <x v="0"/>
    <x v="6"/>
    <n v="46"/>
    <x v="2"/>
    <x v="1"/>
    <n v="5"/>
    <x v="2"/>
    <s v="Average"/>
    <x v="0"/>
  </r>
  <r>
    <n v="70223"/>
    <x v="0"/>
    <x v="1"/>
    <x v="2"/>
    <x v="168"/>
    <x v="0"/>
    <x v="2"/>
    <x v="13"/>
    <n v="4"/>
    <x v="3"/>
    <x v="4"/>
    <n v="2"/>
    <x v="1"/>
    <s v="Poor"/>
    <x v="0"/>
  </r>
  <r>
    <n v="70182"/>
    <x v="1"/>
    <x v="1"/>
    <x v="1"/>
    <x v="169"/>
    <x v="0"/>
    <x v="4"/>
    <x v="41"/>
    <n v="11"/>
    <x v="3"/>
    <x v="1"/>
    <n v="2"/>
    <x v="4"/>
    <s v="Average"/>
    <x v="0"/>
  </r>
  <r>
    <n v="70089"/>
    <x v="0"/>
    <x v="1"/>
    <x v="0"/>
    <x v="170"/>
    <x v="2"/>
    <x v="2"/>
    <x v="2"/>
    <n v="9"/>
    <x v="4"/>
    <x v="2"/>
    <n v="2"/>
    <x v="4"/>
    <s v="Average"/>
    <x v="1"/>
  </r>
  <r>
    <n v="70216"/>
    <x v="0"/>
    <x v="1"/>
    <x v="2"/>
    <x v="171"/>
    <x v="1"/>
    <x v="2"/>
    <x v="8"/>
    <n v="5"/>
    <x v="0"/>
    <x v="3"/>
    <n v="4"/>
    <x v="6"/>
    <s v="Average"/>
    <x v="1"/>
  </r>
  <r>
    <n v="70195"/>
    <x v="1"/>
    <x v="0"/>
    <x v="0"/>
    <x v="172"/>
    <x v="2"/>
    <x v="2"/>
    <x v="40"/>
    <n v="3"/>
    <x v="2"/>
    <x v="3"/>
    <n v="1"/>
    <x v="3"/>
    <s v="Poor"/>
    <x v="1"/>
  </r>
  <r>
    <n v="70215"/>
    <x v="0"/>
    <x v="1"/>
    <x v="2"/>
    <x v="173"/>
    <x v="0"/>
    <x v="2"/>
    <x v="4"/>
    <n v="0"/>
    <x v="0"/>
    <x v="0"/>
    <n v="4"/>
    <x v="0"/>
    <s v="Good"/>
    <x v="0"/>
  </r>
  <r>
    <n v="70145"/>
    <x v="1"/>
    <x v="0"/>
    <x v="1"/>
    <x v="174"/>
    <x v="2"/>
    <x v="1"/>
    <x v="53"/>
    <n v="96"/>
    <x v="0"/>
    <x v="2"/>
    <n v="3"/>
    <x v="3"/>
    <s v="Poor"/>
    <x v="0"/>
  </r>
  <r>
    <n v="70190"/>
    <x v="0"/>
    <x v="1"/>
    <x v="1"/>
    <x v="175"/>
    <x v="0"/>
    <x v="2"/>
    <x v="4"/>
    <n v="0"/>
    <x v="3"/>
    <x v="0"/>
    <n v="3"/>
    <x v="0"/>
    <s v="Good"/>
    <x v="1"/>
  </r>
  <r>
    <n v="70051"/>
    <x v="1"/>
    <x v="0"/>
    <x v="1"/>
    <x v="176"/>
    <x v="0"/>
    <x v="3"/>
    <x v="5"/>
    <n v="14"/>
    <x v="3"/>
    <x v="2"/>
    <n v="4"/>
    <x v="4"/>
    <s v="Average"/>
    <x v="1"/>
  </r>
  <r>
    <n v="70199"/>
    <x v="1"/>
    <x v="1"/>
    <x v="0"/>
    <x v="177"/>
    <x v="0"/>
    <x v="3"/>
    <x v="40"/>
    <n v="3"/>
    <x v="4"/>
    <x v="0"/>
    <n v="2"/>
    <x v="5"/>
    <s v="Good"/>
    <x v="1"/>
  </r>
  <r>
    <n v="70184"/>
    <x v="0"/>
    <x v="1"/>
    <x v="1"/>
    <x v="178"/>
    <x v="0"/>
    <x v="4"/>
    <x v="25"/>
    <n v="20"/>
    <x v="0"/>
    <x v="4"/>
    <n v="4"/>
    <x v="4"/>
    <s v="Average"/>
    <x v="0"/>
  </r>
  <r>
    <n v="70007"/>
    <x v="0"/>
    <x v="0"/>
    <x v="2"/>
    <x v="179"/>
    <x v="0"/>
    <x v="3"/>
    <x v="32"/>
    <n v="12"/>
    <x v="4"/>
    <x v="4"/>
    <n v="3"/>
    <x v="6"/>
    <s v="Average"/>
    <x v="0"/>
  </r>
  <r>
    <n v="70117"/>
    <x v="0"/>
    <x v="0"/>
    <x v="1"/>
    <x v="180"/>
    <x v="0"/>
    <x v="0"/>
    <x v="34"/>
    <n v="40"/>
    <x v="4"/>
    <x v="4"/>
    <n v="1"/>
    <x v="4"/>
    <s v="Average"/>
    <x v="1"/>
  </r>
  <r>
    <n v="70036"/>
    <x v="0"/>
    <x v="0"/>
    <x v="0"/>
    <x v="181"/>
    <x v="2"/>
    <x v="1"/>
    <x v="31"/>
    <n v="97"/>
    <x v="0"/>
    <x v="3"/>
    <n v="1"/>
    <x v="1"/>
    <s v="Poor"/>
    <x v="1"/>
  </r>
  <r>
    <n v="70133"/>
    <x v="0"/>
    <x v="0"/>
    <x v="0"/>
    <x v="182"/>
    <x v="0"/>
    <x v="0"/>
    <x v="56"/>
    <n v="45"/>
    <x v="0"/>
    <x v="0"/>
    <n v="3"/>
    <x v="6"/>
    <s v="Average"/>
    <x v="0"/>
  </r>
  <r>
    <n v="70062"/>
    <x v="1"/>
    <x v="1"/>
    <x v="1"/>
    <x v="183"/>
    <x v="2"/>
    <x v="1"/>
    <x v="30"/>
    <n v="92"/>
    <x v="0"/>
    <x v="2"/>
    <n v="1"/>
    <x v="8"/>
    <s v="Poor"/>
    <x v="0"/>
  </r>
  <r>
    <n v="70226"/>
    <x v="0"/>
    <x v="0"/>
    <x v="0"/>
    <x v="116"/>
    <x v="0"/>
    <x v="2"/>
    <x v="12"/>
    <n v="6"/>
    <x v="3"/>
    <x v="2"/>
    <n v="2"/>
    <x v="3"/>
    <s v="Poor"/>
    <x v="0"/>
  </r>
  <r>
    <n v="70032"/>
    <x v="1"/>
    <x v="0"/>
    <x v="1"/>
    <x v="184"/>
    <x v="0"/>
    <x v="2"/>
    <x v="4"/>
    <n v="0"/>
    <x v="0"/>
    <x v="4"/>
    <n v="3"/>
    <x v="1"/>
    <s v="Poor"/>
    <x v="1"/>
  </r>
  <r>
    <n v="70021"/>
    <x v="1"/>
    <x v="1"/>
    <x v="1"/>
    <x v="185"/>
    <x v="0"/>
    <x v="2"/>
    <x v="4"/>
    <n v="0"/>
    <x v="1"/>
    <x v="4"/>
    <n v="1"/>
    <x v="1"/>
    <s v="Poor"/>
    <x v="0"/>
  </r>
  <r>
    <n v="70013"/>
    <x v="0"/>
    <x v="0"/>
    <x v="0"/>
    <x v="186"/>
    <x v="0"/>
    <x v="4"/>
    <x v="29"/>
    <n v="18"/>
    <x v="3"/>
    <x v="4"/>
    <n v="2"/>
    <x v="1"/>
    <s v="Poor"/>
    <x v="0"/>
  </r>
  <r>
    <n v="70006"/>
    <x v="1"/>
    <x v="1"/>
    <x v="2"/>
    <x v="187"/>
    <x v="0"/>
    <x v="3"/>
    <x v="4"/>
    <n v="0"/>
    <x v="4"/>
    <x v="2"/>
    <n v="5"/>
    <x v="0"/>
    <s v="Good"/>
    <x v="1"/>
  </r>
  <r>
    <n v="70104"/>
    <x v="1"/>
    <x v="1"/>
    <x v="2"/>
    <x v="188"/>
    <x v="0"/>
    <x v="2"/>
    <x v="4"/>
    <n v="0"/>
    <x v="2"/>
    <x v="3"/>
    <n v="4"/>
    <x v="2"/>
    <s v="Average"/>
    <x v="0"/>
  </r>
  <r>
    <n v="70109"/>
    <x v="0"/>
    <x v="0"/>
    <x v="1"/>
    <x v="189"/>
    <x v="2"/>
    <x v="3"/>
    <x v="40"/>
    <n v="3"/>
    <x v="4"/>
    <x v="1"/>
    <n v="3"/>
    <x v="0"/>
    <s v="Good"/>
    <x v="0"/>
  </r>
  <r>
    <n v="70014"/>
    <x v="1"/>
    <x v="0"/>
    <x v="2"/>
    <x v="190"/>
    <x v="0"/>
    <x v="2"/>
    <x v="2"/>
    <n v="9"/>
    <x v="3"/>
    <x v="1"/>
    <n v="4"/>
    <x v="6"/>
    <s v="Average"/>
    <x v="0"/>
  </r>
  <r>
    <n v="70237"/>
    <x v="0"/>
    <x v="0"/>
    <x v="0"/>
    <x v="191"/>
    <x v="0"/>
    <x v="2"/>
    <x v="23"/>
    <n v="1"/>
    <x v="2"/>
    <x v="2"/>
    <n v="1"/>
    <x v="12"/>
    <s v="Poor"/>
    <x v="0"/>
  </r>
  <r>
    <n v="70044"/>
    <x v="1"/>
    <x v="0"/>
    <x v="1"/>
    <x v="192"/>
    <x v="2"/>
    <x v="0"/>
    <x v="57"/>
    <n v="37"/>
    <x v="0"/>
    <x v="3"/>
    <n v="4"/>
    <x v="6"/>
    <s v="Average"/>
    <x v="1"/>
  </r>
  <r>
    <n v="70154"/>
    <x v="0"/>
    <x v="0"/>
    <x v="0"/>
    <x v="193"/>
    <x v="0"/>
    <x v="2"/>
    <x v="28"/>
    <n v="2"/>
    <x v="3"/>
    <x v="2"/>
    <n v="4"/>
    <x v="4"/>
    <s v="Average"/>
    <x v="1"/>
  </r>
  <r>
    <n v="70118"/>
    <x v="1"/>
    <x v="1"/>
    <x v="1"/>
    <x v="194"/>
    <x v="0"/>
    <x v="4"/>
    <x v="17"/>
    <n v="10"/>
    <x v="0"/>
    <x v="2"/>
    <n v="1"/>
    <x v="8"/>
    <s v="Poor"/>
    <x v="1"/>
  </r>
  <r>
    <n v="70015"/>
    <x v="0"/>
    <x v="1"/>
    <x v="0"/>
    <x v="195"/>
    <x v="0"/>
    <x v="1"/>
    <x v="52"/>
    <n v="85"/>
    <x v="4"/>
    <x v="3"/>
    <n v="3"/>
    <x v="5"/>
    <s v="Good"/>
    <x v="0"/>
  </r>
  <r>
    <n v="70219"/>
    <x v="0"/>
    <x v="0"/>
    <x v="0"/>
    <x v="196"/>
    <x v="2"/>
    <x v="4"/>
    <x v="41"/>
    <n v="11"/>
    <x v="1"/>
    <x v="4"/>
    <n v="2"/>
    <x v="4"/>
    <s v="Average"/>
    <x v="1"/>
  </r>
  <r>
    <n v="70101"/>
    <x v="1"/>
    <x v="1"/>
    <x v="0"/>
    <x v="197"/>
    <x v="0"/>
    <x v="4"/>
    <x v="32"/>
    <n v="12"/>
    <x v="0"/>
    <x v="0"/>
    <n v="2"/>
    <x v="2"/>
    <s v="Average"/>
    <x v="0"/>
  </r>
  <r>
    <n v="70170"/>
    <x v="0"/>
    <x v="1"/>
    <x v="1"/>
    <x v="198"/>
    <x v="0"/>
    <x v="2"/>
    <x v="4"/>
    <n v="0"/>
    <x v="4"/>
    <x v="0"/>
    <n v="5"/>
    <x v="11"/>
    <s v="Good"/>
    <x v="0"/>
  </r>
  <r>
    <n v="70073"/>
    <x v="1"/>
    <x v="0"/>
    <x v="1"/>
    <x v="199"/>
    <x v="0"/>
    <x v="2"/>
    <x v="58"/>
    <n v="78"/>
    <x v="0"/>
    <x v="2"/>
    <n v="4"/>
    <x v="1"/>
    <s v="Poor"/>
    <x v="0"/>
  </r>
  <r>
    <n v="70234"/>
    <x v="0"/>
    <x v="1"/>
    <x v="2"/>
    <x v="200"/>
    <x v="2"/>
    <x v="3"/>
    <x v="7"/>
    <n v="8"/>
    <x v="4"/>
    <x v="3"/>
    <n v="3"/>
    <x v="5"/>
    <s v="Good"/>
    <x v="0"/>
  </r>
  <r>
    <n v="70144"/>
    <x v="1"/>
    <x v="1"/>
    <x v="0"/>
    <x v="201"/>
    <x v="1"/>
    <x v="4"/>
    <x v="41"/>
    <n v="11"/>
    <x v="2"/>
    <x v="4"/>
    <n v="1"/>
    <x v="8"/>
    <s v="Poor"/>
    <x v="1"/>
  </r>
  <r>
    <n v="70236"/>
    <x v="0"/>
    <x v="1"/>
    <x v="0"/>
    <x v="202"/>
    <x v="1"/>
    <x v="2"/>
    <x v="49"/>
    <n v="67"/>
    <x v="0"/>
    <x v="3"/>
    <n v="2"/>
    <x v="4"/>
    <s v="Average"/>
    <x v="0"/>
  </r>
  <r>
    <n v="70161"/>
    <x v="0"/>
    <x v="0"/>
    <x v="2"/>
    <x v="89"/>
    <x v="0"/>
    <x v="4"/>
    <x v="38"/>
    <n v="21"/>
    <x v="0"/>
    <x v="1"/>
    <n v="2"/>
    <x v="1"/>
    <s v="Poor"/>
    <x v="1"/>
  </r>
  <r>
    <n v="70201"/>
    <x v="1"/>
    <x v="1"/>
    <x v="2"/>
    <x v="203"/>
    <x v="0"/>
    <x v="2"/>
    <x v="2"/>
    <n v="9"/>
    <x v="3"/>
    <x v="1"/>
    <n v="3"/>
    <x v="2"/>
    <s v="Average"/>
    <x v="0"/>
  </r>
  <r>
    <n v="70045"/>
    <x v="0"/>
    <x v="1"/>
    <x v="2"/>
    <x v="204"/>
    <x v="2"/>
    <x v="0"/>
    <x v="59"/>
    <n v="49"/>
    <x v="1"/>
    <x v="2"/>
    <n v="4"/>
    <x v="2"/>
    <s v="Average"/>
    <x v="1"/>
  </r>
  <r>
    <n v="70160"/>
    <x v="0"/>
    <x v="1"/>
    <x v="0"/>
    <x v="205"/>
    <x v="0"/>
    <x v="2"/>
    <x v="13"/>
    <n v="4"/>
    <x v="4"/>
    <x v="2"/>
    <n v="3"/>
    <x v="2"/>
    <s v="Average"/>
    <x v="1"/>
  </r>
  <r>
    <n v="70017"/>
    <x v="1"/>
    <x v="0"/>
    <x v="1"/>
    <x v="206"/>
    <x v="1"/>
    <x v="2"/>
    <x v="4"/>
    <n v="0"/>
    <x v="3"/>
    <x v="2"/>
    <n v="1"/>
    <x v="7"/>
    <s v="Poor"/>
    <x v="1"/>
  </r>
  <r>
    <n v="70107"/>
    <x v="0"/>
    <x v="1"/>
    <x v="1"/>
    <x v="207"/>
    <x v="2"/>
    <x v="1"/>
    <x v="20"/>
    <n v="89"/>
    <x v="2"/>
    <x v="4"/>
    <n v="1"/>
    <x v="8"/>
    <s v="Poor"/>
    <x v="1"/>
  </r>
  <r>
    <n v="70175"/>
    <x v="0"/>
    <x v="0"/>
    <x v="1"/>
    <x v="208"/>
    <x v="0"/>
    <x v="4"/>
    <x v="38"/>
    <n v="21"/>
    <x v="1"/>
    <x v="1"/>
    <n v="5"/>
    <x v="5"/>
    <s v="Good"/>
    <x v="1"/>
  </r>
  <r>
    <n v="70029"/>
    <x v="0"/>
    <x v="0"/>
    <x v="0"/>
    <x v="209"/>
    <x v="0"/>
    <x v="1"/>
    <x v="3"/>
    <n v="90"/>
    <x v="2"/>
    <x v="3"/>
    <n v="4"/>
    <x v="2"/>
    <s v="Average"/>
    <x v="1"/>
  </r>
  <r>
    <n v="70140"/>
    <x v="0"/>
    <x v="0"/>
    <x v="0"/>
    <x v="210"/>
    <x v="2"/>
    <x v="3"/>
    <x v="23"/>
    <n v="1"/>
    <x v="0"/>
    <x v="3"/>
    <n v="2"/>
    <x v="4"/>
    <s v="Average"/>
    <x v="0"/>
  </r>
  <r>
    <n v="70027"/>
    <x v="0"/>
    <x v="1"/>
    <x v="0"/>
    <x v="211"/>
    <x v="0"/>
    <x v="4"/>
    <x v="46"/>
    <n v="15"/>
    <x v="1"/>
    <x v="0"/>
    <n v="4"/>
    <x v="9"/>
    <s v="Good"/>
    <x v="0"/>
  </r>
  <r>
    <n v="70084"/>
    <x v="1"/>
    <x v="0"/>
    <x v="0"/>
    <x v="212"/>
    <x v="2"/>
    <x v="1"/>
    <x v="37"/>
    <n v="99"/>
    <x v="2"/>
    <x v="3"/>
    <n v="4"/>
    <x v="2"/>
    <s v="Average"/>
    <x v="0"/>
  </r>
  <r>
    <n v="70179"/>
    <x v="1"/>
    <x v="1"/>
    <x v="2"/>
    <x v="30"/>
    <x v="0"/>
    <x v="2"/>
    <x v="4"/>
    <n v="0"/>
    <x v="2"/>
    <x v="4"/>
    <n v="2"/>
    <x v="7"/>
    <s v="Poor"/>
    <x v="0"/>
  </r>
  <r>
    <n v="70141"/>
    <x v="0"/>
    <x v="1"/>
    <x v="2"/>
    <x v="213"/>
    <x v="1"/>
    <x v="3"/>
    <x v="8"/>
    <n v="5"/>
    <x v="3"/>
    <x v="0"/>
    <n v="3"/>
    <x v="0"/>
    <s v="Good"/>
    <x v="0"/>
  </r>
  <r>
    <n v="70143"/>
    <x v="1"/>
    <x v="1"/>
    <x v="1"/>
    <x v="214"/>
    <x v="2"/>
    <x v="1"/>
    <x v="27"/>
    <n v="88"/>
    <x v="4"/>
    <x v="1"/>
    <n v="4"/>
    <x v="5"/>
    <s v="Good"/>
    <x v="1"/>
  </r>
  <r>
    <n v="70197"/>
    <x v="0"/>
    <x v="0"/>
    <x v="2"/>
    <x v="84"/>
    <x v="1"/>
    <x v="3"/>
    <x v="12"/>
    <n v="6"/>
    <x v="4"/>
    <x v="0"/>
    <n v="1"/>
    <x v="0"/>
    <s v="Good"/>
    <x v="1"/>
  </r>
  <r>
    <n v="70024"/>
    <x v="0"/>
    <x v="0"/>
    <x v="1"/>
    <x v="215"/>
    <x v="2"/>
    <x v="1"/>
    <x v="20"/>
    <n v="89"/>
    <x v="0"/>
    <x v="4"/>
    <n v="4"/>
    <x v="4"/>
    <s v="Average"/>
    <x v="0"/>
  </r>
  <r>
    <n v="70158"/>
    <x v="0"/>
    <x v="0"/>
    <x v="2"/>
    <x v="216"/>
    <x v="0"/>
    <x v="2"/>
    <x v="13"/>
    <n v="4"/>
    <x v="0"/>
    <x v="1"/>
    <n v="2"/>
    <x v="1"/>
    <s v="Poor"/>
    <x v="0"/>
  </r>
  <r>
    <n v="70239"/>
    <x v="0"/>
    <x v="1"/>
    <x v="0"/>
    <x v="152"/>
    <x v="2"/>
    <x v="0"/>
    <x v="16"/>
    <n v="43"/>
    <x v="2"/>
    <x v="3"/>
    <n v="1"/>
    <x v="3"/>
    <s v="Poor"/>
    <x v="0"/>
  </r>
  <r>
    <n v="70022"/>
    <x v="1"/>
    <x v="1"/>
    <x v="0"/>
    <x v="217"/>
    <x v="0"/>
    <x v="0"/>
    <x v="60"/>
    <n v="39"/>
    <x v="4"/>
    <x v="3"/>
    <n v="2"/>
    <x v="0"/>
    <s v="Good"/>
    <x v="1"/>
  </r>
  <r>
    <n v="70075"/>
    <x v="0"/>
    <x v="1"/>
    <x v="0"/>
    <x v="218"/>
    <x v="2"/>
    <x v="3"/>
    <x v="8"/>
    <n v="5"/>
    <x v="4"/>
    <x v="0"/>
    <n v="3"/>
    <x v="9"/>
    <s v="Good"/>
    <x v="0"/>
  </r>
  <r>
    <n v="70002"/>
    <x v="0"/>
    <x v="1"/>
    <x v="1"/>
    <x v="219"/>
    <x v="1"/>
    <x v="3"/>
    <x v="33"/>
    <n v="7"/>
    <x v="2"/>
    <x v="2"/>
    <n v="3"/>
    <x v="7"/>
    <s v="Poor"/>
    <x v="1"/>
  </r>
  <r>
    <n v="70004"/>
    <x v="1"/>
    <x v="0"/>
    <x v="2"/>
    <x v="220"/>
    <x v="0"/>
    <x v="4"/>
    <x v="25"/>
    <n v="20"/>
    <x v="0"/>
    <x v="1"/>
    <n v="2"/>
    <x v="1"/>
    <s v="Poor"/>
    <x v="0"/>
  </r>
  <r>
    <n v="70116"/>
    <x v="0"/>
    <x v="0"/>
    <x v="0"/>
    <x v="179"/>
    <x v="0"/>
    <x v="4"/>
    <x v="42"/>
    <n v="23"/>
    <x v="4"/>
    <x v="0"/>
    <n v="5"/>
    <x v="11"/>
    <s v="Good"/>
    <x v="0"/>
  </r>
  <r>
    <n v="70056"/>
    <x v="0"/>
    <x v="0"/>
    <x v="0"/>
    <x v="221"/>
    <x v="0"/>
    <x v="2"/>
    <x v="7"/>
    <n v="8"/>
    <x v="0"/>
    <x v="3"/>
    <n v="3"/>
    <x v="2"/>
    <s v="Average"/>
    <x v="1"/>
  </r>
  <r>
    <n v="70238"/>
    <x v="1"/>
    <x v="0"/>
    <x v="0"/>
    <x v="222"/>
    <x v="0"/>
    <x v="3"/>
    <x v="33"/>
    <n v="7"/>
    <x v="4"/>
    <x v="2"/>
    <n v="5"/>
    <x v="0"/>
    <s v="Good"/>
    <x v="1"/>
  </r>
  <r>
    <n v="70040"/>
    <x v="0"/>
    <x v="0"/>
    <x v="2"/>
    <x v="223"/>
    <x v="0"/>
    <x v="1"/>
    <x v="31"/>
    <n v="97"/>
    <x v="4"/>
    <x v="4"/>
    <n v="5"/>
    <x v="5"/>
    <s v="Good"/>
    <x v="1"/>
  </r>
  <r>
    <n v="70079"/>
    <x v="0"/>
    <x v="0"/>
    <x v="2"/>
    <x v="224"/>
    <x v="0"/>
    <x v="1"/>
    <x v="50"/>
    <n v="98"/>
    <x v="1"/>
    <x v="1"/>
    <n v="1"/>
    <x v="4"/>
    <s v="Average"/>
    <x v="1"/>
  </r>
  <r>
    <n v="70105"/>
    <x v="0"/>
    <x v="0"/>
    <x v="0"/>
    <x v="225"/>
    <x v="0"/>
    <x v="0"/>
    <x v="56"/>
    <n v="45"/>
    <x v="2"/>
    <x v="4"/>
    <n v="2"/>
    <x v="7"/>
    <s v="Poor"/>
    <x v="0"/>
  </r>
  <r>
    <n v="70049"/>
    <x v="1"/>
    <x v="1"/>
    <x v="2"/>
    <x v="226"/>
    <x v="2"/>
    <x v="4"/>
    <x v="11"/>
    <n v="19"/>
    <x v="4"/>
    <x v="3"/>
    <n v="3"/>
    <x v="5"/>
    <s v="Good"/>
    <x v="0"/>
  </r>
  <r>
    <n v="70163"/>
    <x v="0"/>
    <x v="0"/>
    <x v="2"/>
    <x v="227"/>
    <x v="1"/>
    <x v="3"/>
    <x v="17"/>
    <n v="10"/>
    <x v="0"/>
    <x v="3"/>
    <n v="5"/>
    <x v="0"/>
    <s v="Good"/>
    <x v="1"/>
  </r>
  <r>
    <n v="70091"/>
    <x v="0"/>
    <x v="0"/>
    <x v="2"/>
    <x v="228"/>
    <x v="0"/>
    <x v="1"/>
    <x v="20"/>
    <n v="89"/>
    <x v="3"/>
    <x v="2"/>
    <n v="5"/>
    <x v="2"/>
    <s v="Average"/>
    <x v="0"/>
  </r>
  <r>
    <n v="70233"/>
    <x v="0"/>
    <x v="1"/>
    <x v="2"/>
    <x v="229"/>
    <x v="1"/>
    <x v="3"/>
    <x v="32"/>
    <n v="12"/>
    <x v="4"/>
    <x v="0"/>
    <n v="2"/>
    <x v="5"/>
    <s v="Good"/>
    <x v="1"/>
  </r>
  <r>
    <n v="70202"/>
    <x v="1"/>
    <x v="1"/>
    <x v="0"/>
    <x v="230"/>
    <x v="2"/>
    <x v="3"/>
    <x v="46"/>
    <n v="15"/>
    <x v="2"/>
    <x v="3"/>
    <n v="3"/>
    <x v="4"/>
    <s v="Average"/>
    <x v="0"/>
  </r>
  <r>
    <n v="70058"/>
    <x v="1"/>
    <x v="0"/>
    <x v="2"/>
    <x v="231"/>
    <x v="0"/>
    <x v="2"/>
    <x v="40"/>
    <n v="3"/>
    <x v="3"/>
    <x v="4"/>
    <n v="3"/>
    <x v="4"/>
    <s v="Average"/>
    <x v="0"/>
  </r>
  <r>
    <n v="70119"/>
    <x v="0"/>
    <x v="0"/>
    <x v="0"/>
    <x v="232"/>
    <x v="0"/>
    <x v="1"/>
    <x v="39"/>
    <n v="95"/>
    <x v="0"/>
    <x v="0"/>
    <n v="4"/>
    <x v="0"/>
    <s v="Good"/>
    <x v="0"/>
  </r>
  <r>
    <n v="70034"/>
    <x v="0"/>
    <x v="0"/>
    <x v="1"/>
    <x v="233"/>
    <x v="0"/>
    <x v="2"/>
    <x v="4"/>
    <n v="0"/>
    <x v="4"/>
    <x v="2"/>
    <n v="3"/>
    <x v="2"/>
    <s v="Average"/>
    <x v="0"/>
  </r>
  <r>
    <n v="70231"/>
    <x v="1"/>
    <x v="1"/>
    <x v="2"/>
    <x v="234"/>
    <x v="2"/>
    <x v="0"/>
    <x v="59"/>
    <n v="49"/>
    <x v="3"/>
    <x v="2"/>
    <n v="5"/>
    <x v="2"/>
    <s v="Average"/>
    <x v="0"/>
  </r>
  <r>
    <n v="70083"/>
    <x v="0"/>
    <x v="1"/>
    <x v="1"/>
    <x v="218"/>
    <x v="2"/>
    <x v="1"/>
    <x v="20"/>
    <n v="89"/>
    <x v="3"/>
    <x v="2"/>
    <n v="3"/>
    <x v="1"/>
    <s v="Poor"/>
    <x v="1"/>
  </r>
  <r>
    <n v="70176"/>
    <x v="0"/>
    <x v="1"/>
    <x v="2"/>
    <x v="68"/>
    <x v="0"/>
    <x v="1"/>
    <x v="10"/>
    <n v="86"/>
    <x v="0"/>
    <x v="4"/>
    <n v="1"/>
    <x v="7"/>
    <s v="Poor"/>
    <x v="0"/>
  </r>
  <r>
    <n v="70067"/>
    <x v="1"/>
    <x v="0"/>
    <x v="0"/>
    <x v="235"/>
    <x v="0"/>
    <x v="4"/>
    <x v="35"/>
    <n v="22"/>
    <x v="0"/>
    <x v="1"/>
    <n v="5"/>
    <x v="6"/>
    <s v="Average"/>
    <x v="1"/>
  </r>
  <r>
    <n v="70127"/>
    <x v="0"/>
    <x v="1"/>
    <x v="1"/>
    <x v="236"/>
    <x v="0"/>
    <x v="3"/>
    <x v="46"/>
    <n v="15"/>
    <x v="1"/>
    <x v="3"/>
    <n v="1"/>
    <x v="2"/>
    <s v="Average"/>
    <x v="1"/>
  </r>
  <r>
    <n v="70035"/>
    <x v="0"/>
    <x v="0"/>
    <x v="2"/>
    <x v="237"/>
    <x v="0"/>
    <x v="2"/>
    <x v="8"/>
    <n v="5"/>
    <x v="0"/>
    <x v="0"/>
    <n v="3"/>
    <x v="6"/>
    <s v="Average"/>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7" firstHeaderRow="1" firstDataRow="2" firstDataCol="1"/>
  <pivotFields count="15">
    <pivotField numFmtId="1" showAll="0"/>
    <pivotField showAll="0">
      <items count="3">
        <item h="1" x="1"/>
        <item x="0"/>
        <item t="default"/>
      </items>
    </pivotField>
    <pivotField axis="axisRow" showAll="0">
      <items count="3">
        <item x="0"/>
        <item x="1"/>
        <item t="default"/>
      </items>
    </pivotField>
    <pivotField showAll="0">
      <items count="4">
        <item x="1"/>
        <item x="0"/>
        <item x="2"/>
        <item t="default"/>
      </items>
    </pivotField>
    <pivotField numFmtId="1" showAll="0"/>
    <pivotField showAll="0"/>
    <pivotField numFmtId="1" showAll="0"/>
    <pivotField numFmtId="1" showAll="0"/>
    <pivotField showAll="0"/>
    <pivotField numFmtId="1" showAll="0"/>
    <pivotField numFmtId="1" showAll="0"/>
    <pivotField numFmtId="1" showAll="0"/>
    <pivotField numFmtId="1" showAll="0"/>
    <pivotField showAll="0"/>
    <pivotField axis="axisCol" dataField="1" showAll="0">
      <items count="3">
        <item x="0"/>
        <item x="1"/>
        <item t="default"/>
      </items>
    </pivotField>
  </pivotFields>
  <rowFields count="1">
    <field x="2"/>
  </rowFields>
  <rowItems count="3">
    <i>
      <x/>
    </i>
    <i>
      <x v="1"/>
    </i>
    <i t="grand">
      <x/>
    </i>
  </rowItems>
  <colFields count="1">
    <field x="14"/>
  </colFields>
  <colItems count="3">
    <i>
      <x/>
    </i>
    <i>
      <x v="1"/>
    </i>
    <i t="grand">
      <x/>
    </i>
  </colItems>
  <dataFields count="1">
    <dataField name="Count of Satisfaction" fld="14" subtotal="count" baseField="2" baseItem="1"/>
  </dataField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2" format="10" series="1">
      <pivotArea type="data" outline="0" fieldPosition="0">
        <references count="2">
          <reference field="4294967294" count="1" selected="0">
            <x v="0"/>
          </reference>
          <reference field="14" count="1" selected="0">
            <x v="0"/>
          </reference>
        </references>
      </pivotArea>
    </chartFormat>
    <chartFormat chart="2" format="11" series="1">
      <pivotArea type="data" outline="0" fieldPosition="0">
        <references count="2">
          <reference field="4294967294" count="1" selected="0">
            <x v="0"/>
          </reference>
          <reference field="14" count="1" selected="0">
            <x v="1"/>
          </reference>
        </references>
      </pivotArea>
    </chartFormat>
    <chartFormat chart="2" format="12">
      <pivotArea type="data" outline="0" fieldPosition="0">
        <references count="3">
          <reference field="4294967294" count="1" selected="0">
            <x v="0"/>
          </reference>
          <reference field="2" count="1" selected="0">
            <x v="0"/>
          </reference>
          <reference field="14" count="1" selected="0">
            <x v="0"/>
          </reference>
        </references>
      </pivotArea>
    </chartFormat>
    <chartFormat chart="2" format="13">
      <pivotArea type="data" outline="0" fieldPosition="0">
        <references count="3">
          <reference field="4294967294" count="1" selected="0">
            <x v="0"/>
          </reference>
          <reference field="2" count="1" selected="0">
            <x v="1"/>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D8" firstHeaderRow="1" firstDataRow="2" firstDataCol="1"/>
  <pivotFields count="15">
    <pivotField numFmtId="1" showAll="0"/>
    <pivotField showAll="0">
      <items count="3">
        <item h="1" x="1"/>
        <item x="0"/>
        <item t="default"/>
      </items>
    </pivotField>
    <pivotField showAll="0">
      <items count="3">
        <item x="0"/>
        <item x="1"/>
        <item t="default"/>
      </items>
    </pivotField>
    <pivotField axis="axisRow" showAll="0">
      <items count="4">
        <item x="1"/>
        <item x="0"/>
        <item x="2"/>
        <item t="default"/>
      </items>
    </pivotField>
    <pivotField numFmtId="1" showAll="0"/>
    <pivotField showAll="0"/>
    <pivotField numFmtId="1" showAll="0"/>
    <pivotField numFmtId="1" showAll="0"/>
    <pivotField showAll="0"/>
    <pivotField numFmtId="1" showAll="0"/>
    <pivotField numFmtId="1" showAll="0"/>
    <pivotField numFmtId="1" showAll="0"/>
    <pivotField numFmtId="1" showAll="0"/>
    <pivotField showAll="0"/>
    <pivotField axis="axisCol" dataField="1" showAll="0">
      <items count="3">
        <item x="0"/>
        <item x="1"/>
        <item t="default"/>
      </items>
    </pivotField>
  </pivotFields>
  <rowFields count="1">
    <field x="3"/>
  </rowFields>
  <rowItems count="4">
    <i>
      <x/>
    </i>
    <i>
      <x v="1"/>
    </i>
    <i>
      <x v="2"/>
    </i>
    <i t="grand">
      <x/>
    </i>
  </rowItems>
  <colFields count="1">
    <field x="14"/>
  </colFields>
  <colItems count="3">
    <i>
      <x/>
    </i>
    <i>
      <x v="1"/>
    </i>
    <i t="grand">
      <x/>
    </i>
  </colItems>
  <dataFields count="1">
    <dataField name="Count of Satisfaction" fld="14" subtotal="count" baseField="0" baseItem="511895136"/>
  </dataFields>
  <chartFormats count="3">
    <chartFormat chart="0" format="6" series="1">
      <pivotArea type="data" outline="0" fieldPosition="0">
        <references count="1">
          <reference field="4294967294" count="1" selected="0">
            <x v="0"/>
          </reference>
        </references>
      </pivotArea>
    </chartFormat>
    <chartFormat chart="2" format="12" series="1">
      <pivotArea type="data" outline="0" fieldPosition="0">
        <references count="2">
          <reference field="4294967294" count="1" selected="0">
            <x v="0"/>
          </reference>
          <reference field="14" count="1" selected="0">
            <x v="1"/>
          </reference>
        </references>
      </pivotArea>
    </chartFormat>
    <chartFormat chart="2" format="13" series="1">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6" firstHeaderRow="1" firstDataRow="2" firstDataCol="1"/>
  <pivotFields count="15">
    <pivotField numFmtId="1" showAll="0"/>
    <pivotField axis="axisRow" showAll="0">
      <items count="3">
        <item h="1" x="1"/>
        <item x="0"/>
        <item t="default"/>
      </items>
    </pivotField>
    <pivotField showAll="0">
      <items count="3">
        <item x="0"/>
        <item x="1"/>
        <item t="default"/>
      </items>
    </pivotField>
    <pivotField showAll="0">
      <items count="4">
        <item x="1"/>
        <item x="0"/>
        <item x="2"/>
        <item t="default"/>
      </items>
    </pivotField>
    <pivotField numFmtId="1" showAll="0"/>
    <pivotField showAll="0"/>
    <pivotField numFmtId="1" showAll="0"/>
    <pivotField numFmtId="1" showAll="0"/>
    <pivotField showAll="0"/>
    <pivotField numFmtId="1" showAll="0"/>
    <pivotField numFmtId="1" showAll="0"/>
    <pivotField numFmtId="1" showAll="0"/>
    <pivotField numFmtId="1" showAll="0"/>
    <pivotField showAll="0"/>
    <pivotField axis="axisCol" dataField="1" showAll="0">
      <items count="3">
        <item x="0"/>
        <item x="1"/>
        <item t="default"/>
      </items>
    </pivotField>
  </pivotFields>
  <rowFields count="1">
    <field x="1"/>
  </rowFields>
  <rowItems count="2">
    <i>
      <x v="1"/>
    </i>
    <i t="grand">
      <x/>
    </i>
  </rowItems>
  <colFields count="1">
    <field x="14"/>
  </colFields>
  <colItems count="3">
    <i>
      <x/>
    </i>
    <i>
      <x v="1"/>
    </i>
    <i t="grand">
      <x/>
    </i>
  </colItems>
  <dataFields count="1">
    <dataField name="Count of Satisfaction" fld="14" subtotal="count" baseField="0" baseItem="0"/>
  </dataFields>
  <chartFormats count="8">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1" format="2" series="1">
      <pivotArea type="data" outline="0" fieldPosition="0">
        <references count="2">
          <reference field="4294967294" count="1" selected="0">
            <x v="0"/>
          </reference>
          <reference field="14" count="1" selected="0">
            <x v="0"/>
          </reference>
        </references>
      </pivotArea>
    </chartFormat>
    <chartFormat chart="1" format="3" series="1">
      <pivotArea type="data" outline="0" fieldPosition="0">
        <references count="2">
          <reference field="4294967294" count="1" selected="0">
            <x v="0"/>
          </reference>
          <reference field="14" count="1" selected="0">
            <x v="1"/>
          </reference>
        </references>
      </pivotArea>
    </chartFormat>
    <chartFormat chart="2" format="6" series="1">
      <pivotArea type="data" outline="0" fieldPosition="0">
        <references count="2">
          <reference field="4294967294" count="1" selected="0">
            <x v="0"/>
          </reference>
          <reference field="14" count="1" selected="0">
            <x v="0"/>
          </reference>
        </references>
      </pivotArea>
    </chartFormat>
    <chartFormat chart="2" format="7" series="1">
      <pivotArea type="data" outline="0" fieldPosition="0">
        <references count="2">
          <reference field="4294967294" count="1" selected="0">
            <x v="0"/>
          </reference>
          <reference field="14" count="1" selected="0">
            <x v="1"/>
          </reference>
        </references>
      </pivotArea>
    </chartFormat>
    <chartFormat chart="2" format="8">
      <pivotArea type="data" outline="0" fieldPosition="0">
        <references count="3">
          <reference field="4294967294" count="1" selected="0">
            <x v="0"/>
          </reference>
          <reference field="1" count="1" selected="0">
            <x v="1"/>
          </reference>
          <reference field="14" count="1" selected="0">
            <x v="0"/>
          </reference>
        </references>
      </pivotArea>
    </chartFormat>
    <chartFormat chart="2" format="9">
      <pivotArea type="data" outline="0" fieldPosition="0">
        <references count="3">
          <reference field="4294967294" count="1" selected="0">
            <x v="0"/>
          </reference>
          <reference field="1" count="1" selected="0">
            <x v="1"/>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6" firstHeaderRow="1" firstDataRow="1" firstDataCol="1"/>
  <pivotFields count="15">
    <pivotField numFmtId="1" showAll="0"/>
    <pivotField showAll="0">
      <items count="3">
        <item h="1" x="1"/>
        <item x="0"/>
        <item t="default"/>
      </items>
    </pivotField>
    <pivotField axis="axisRow" dataField="1" showAll="0">
      <items count="3">
        <item x="0"/>
        <item x="1"/>
        <item t="default"/>
      </items>
    </pivotField>
    <pivotField showAll="0">
      <items count="4">
        <item x="1"/>
        <item x="0"/>
        <item x="2"/>
        <item t="default"/>
      </items>
    </pivotField>
    <pivotField numFmtId="1" showAll="0"/>
    <pivotField showAll="0"/>
    <pivotField numFmtId="1" showAll="0"/>
    <pivotField numFmtId="1" showAll="0"/>
    <pivotField showAll="0"/>
    <pivotField numFmtId="1" showAll="0"/>
    <pivotField numFmtId="1" showAll="0"/>
    <pivotField numFmtId="1" showAll="0"/>
    <pivotField numFmtId="1" showAll="0"/>
    <pivotField showAll="0"/>
    <pivotField showAll="0"/>
  </pivotFields>
  <rowFields count="1">
    <field x="2"/>
  </rowFields>
  <rowItems count="3">
    <i>
      <x/>
    </i>
    <i>
      <x v="1"/>
    </i>
    <i t="grand">
      <x/>
    </i>
  </rowItems>
  <colItems count="1">
    <i/>
  </colItems>
  <dataFields count="1">
    <dataField name="Count of Customer Type" fld="2" subtotal="count" baseField="0" baseItem="486424248"/>
  </dataFields>
  <chartFormats count="9">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 count="1" selected="0">
            <x v="0"/>
          </reference>
        </references>
      </pivotArea>
    </chartFormat>
    <chartFormat chart="5" format="6">
      <pivotArea type="data" outline="0" fieldPosition="0">
        <references count="2">
          <reference field="4294967294" count="1" selected="0">
            <x v="0"/>
          </reference>
          <reference field="2" count="1" selected="0">
            <x v="1"/>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2" count="1" selected="0">
            <x v="0"/>
          </reference>
        </references>
      </pivotArea>
    </chartFormat>
    <chartFormat chart="3" format="5">
      <pivotArea type="data" outline="0" fieldPosition="0">
        <references count="2">
          <reference field="4294967294" count="1" selected="0">
            <x v="0"/>
          </reference>
          <reference field="2" count="1" selected="0">
            <x v="1"/>
          </reference>
        </references>
      </pivotArea>
    </chartFormat>
    <chartFormat chart="7" format="18" series="1">
      <pivotArea type="data" outline="0" fieldPosition="0">
        <references count="1">
          <reference field="4294967294" count="1" selected="0">
            <x v="0"/>
          </reference>
        </references>
      </pivotArea>
    </chartFormat>
    <chartFormat chart="7" format="19">
      <pivotArea type="data" outline="0" fieldPosition="0">
        <references count="2">
          <reference field="4294967294" count="1" selected="0">
            <x v="0"/>
          </reference>
          <reference field="2" count="1" selected="0">
            <x v="1"/>
          </reference>
        </references>
      </pivotArea>
    </chartFormat>
    <chartFormat chart="7" format="20">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7" firstHeaderRow="1" firstDataRow="1" firstDataCol="1"/>
  <pivotFields count="15">
    <pivotField numFmtId="1" showAll="0"/>
    <pivotField showAll="0">
      <items count="3">
        <item h="1" x="1"/>
        <item x="0"/>
        <item t="default"/>
      </items>
    </pivotField>
    <pivotField showAll="0">
      <items count="3">
        <item x="0"/>
        <item x="1"/>
        <item t="default"/>
      </items>
    </pivotField>
    <pivotField showAll="0">
      <items count="4">
        <item x="1"/>
        <item x="0"/>
        <item x="2"/>
        <item t="default"/>
      </items>
    </pivotField>
    <pivotField numFmtId="1" showAll="0"/>
    <pivotField axis="axisRow" showAll="0">
      <items count="4">
        <item x="0"/>
        <item x="2"/>
        <item x="1"/>
        <item t="default"/>
      </items>
    </pivotField>
    <pivotField numFmtId="1" showAll="0"/>
    <pivotField numFmtId="1" showAll="0"/>
    <pivotField showAll="0"/>
    <pivotField numFmtId="1" showAll="0"/>
    <pivotField numFmtId="1" showAll="0">
      <items count="6">
        <item x="2"/>
        <item x="4"/>
        <item x="1"/>
        <item x="3"/>
        <item x="0"/>
        <item t="default"/>
      </items>
    </pivotField>
    <pivotField numFmtId="1" showAll="0"/>
    <pivotField numFmtId="1" showAll="0"/>
    <pivotField showAll="0"/>
    <pivotField dataField="1" showAll="0">
      <items count="3">
        <item x="0"/>
        <item x="1"/>
        <item t="default"/>
      </items>
    </pivotField>
  </pivotFields>
  <rowFields count="1">
    <field x="5"/>
  </rowFields>
  <rowItems count="4">
    <i>
      <x/>
    </i>
    <i>
      <x v="1"/>
    </i>
    <i>
      <x v="2"/>
    </i>
    <i t="grand">
      <x/>
    </i>
  </rowItems>
  <colItems count="1">
    <i/>
  </colItems>
  <dataFields count="1">
    <dataField name="Count of Satisfaction" fld="14" subtotal="count" baseField="0" baseItem="0"/>
  </dataFields>
  <chartFormats count="5">
    <chartFormat chart="6"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5" count="1" selected="0">
            <x v="0"/>
          </reference>
        </references>
      </pivotArea>
    </chartFormat>
    <chartFormat chart="10" format="8">
      <pivotArea type="data" outline="0" fieldPosition="0">
        <references count="2">
          <reference field="4294967294" count="1" selected="0">
            <x v="0"/>
          </reference>
          <reference field="5" count="1" selected="0">
            <x v="1"/>
          </reference>
        </references>
      </pivotArea>
    </chartFormat>
    <chartFormat chart="10" format="9">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15">
    <pivotField numFmtId="1" showAll="0"/>
    <pivotField showAll="0">
      <items count="3">
        <item h="1" x="1"/>
        <item x="0"/>
        <item t="default"/>
      </items>
    </pivotField>
    <pivotField showAll="0">
      <items count="3">
        <item x="0"/>
        <item x="1"/>
        <item t="default"/>
      </items>
    </pivotField>
    <pivotField showAll="0">
      <items count="4">
        <item x="1"/>
        <item x="0"/>
        <item x="2"/>
        <item t="default"/>
      </items>
    </pivotField>
    <pivotField numFmtId="1" showAll="0"/>
    <pivotField showAll="0"/>
    <pivotField numFmtId="1" showAll="0"/>
    <pivotField numFmtId="1" showAll="0"/>
    <pivotField showAll="0"/>
    <pivotField axis="axisRow" dataField="1" numFmtId="1" showAll="0">
      <items count="6">
        <item x="2"/>
        <item x="0"/>
        <item x="3"/>
        <item x="1"/>
        <item x="4"/>
        <item t="default"/>
      </items>
    </pivotField>
    <pivotField numFmtId="1" showAll="0"/>
    <pivotField numFmtId="1" showAll="0"/>
    <pivotField numFmtId="1" showAll="0"/>
    <pivotField showAll="0"/>
    <pivotField showAll="0"/>
  </pivotFields>
  <rowFields count="1">
    <field x="9"/>
  </rowFields>
  <rowItems count="6">
    <i>
      <x/>
    </i>
    <i>
      <x v="1"/>
    </i>
    <i>
      <x v="2"/>
    </i>
    <i>
      <x v="3"/>
    </i>
    <i>
      <x v="4"/>
    </i>
    <i t="grand">
      <x/>
    </i>
  </rowItems>
  <colItems count="1">
    <i/>
  </colItems>
  <dataFields count="1">
    <dataField name="Count of Seat Comfort" fld="9" subtotal="count" baseField="0" baseItem="486435688"/>
  </dataFields>
  <chartFormats count="6">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9" count="1" selected="0">
            <x v="3"/>
          </reference>
        </references>
      </pivotArea>
    </chartFormat>
    <chartFormat chart="2" format="6">
      <pivotArea type="data" outline="0" fieldPosition="0">
        <references count="2">
          <reference field="4294967294" count="1" selected="0">
            <x v="0"/>
          </reference>
          <reference field="9" count="1" selected="0">
            <x v="2"/>
          </reference>
        </references>
      </pivotArea>
    </chartFormat>
    <chartFormat chart="2" format="7">
      <pivotArea type="data" outline="0" fieldPosition="0">
        <references count="2">
          <reference field="4294967294" count="1" selected="0">
            <x v="0"/>
          </reference>
          <reference field="9" count="1" selected="0">
            <x v="1"/>
          </reference>
        </references>
      </pivotArea>
    </chartFormat>
    <chartFormat chart="2" format="8">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5" name="PivotTable1"/>
    <pivotTable tabId="6" name="PivotTable2"/>
    <pivotTable tabId="7" name="PivotTable3"/>
    <pivotTable tabId="8" name="PivotTable1"/>
    <pivotTable tabId="9" name="PivotTable2"/>
    <pivotTable tabId="11" name="PivotTable1"/>
  </pivotTables>
  <data>
    <tabular pivotCacheId="1">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ustomer_Type" sourceName="Customer Type">
  <pivotTables>
    <pivotTable tabId="5" name="PivotTable1"/>
    <pivotTable tabId="6" name="PivotTable2"/>
    <pivotTable tabId="7" name="PivotTable3"/>
    <pivotTable tabId="8" name="PivotTable1"/>
    <pivotTable tabId="9" name="PivotTable2"/>
    <pivotTable tabId="11" name="PivotTable1"/>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lass" sourceName="Class">
  <pivotTables>
    <pivotTable tabId="5" name="PivotTable1"/>
    <pivotTable tabId="6" name="PivotTable2"/>
    <pivotTable tabId="7" name="PivotTable3"/>
    <pivotTable tabId="8" name="PivotTable1"/>
    <pivotTable tabId="9" name="PivotTable2"/>
    <pivotTable tabId="11" name="PivotTable1"/>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34950"/>
  <slicer name="Customer Type" cache="Slicer_Customer_Type" caption="Customer Type" rowHeight="234950"/>
  <slicer name="Class" cache="Slicer_Class" caption="Class" style="SlicerStyleDark5" rowHeight="234950"/>
</slicers>
</file>

<file path=xl/tables/table1.xml><?xml version="1.0" encoding="utf-8"?>
<table xmlns="http://schemas.openxmlformats.org/spreadsheetml/2006/main" id="1" name="Table1" displayName="Table1" ref="A1:O251" totalsRowShown="0" dataDxfId="14">
  <autoFilter ref="A1:O251"/>
  <tableColumns count="15">
    <tableColumn id="1" name="id" dataDxfId="13"/>
    <tableColumn id="2" name="Gender" dataDxfId="12"/>
    <tableColumn id="3" name="Customer Type" dataDxfId="11"/>
    <tableColumn id="4" name="Class" dataDxfId="10"/>
    <tableColumn id="5" name="Flight Distance" dataDxfId="9"/>
    <tableColumn id="6" name="Distance Band" dataDxfId="8">
      <calculatedColumnFormula>IF(E2="","",IF(E2&lt;500,"Short",IF(E2&lt;=1500,"Medium","Long")))</calculatedColumnFormula>
    </tableColumn>
    <tableColumn id="7" name="Departure Delay" dataDxfId="7"/>
    <tableColumn id="8" name="Arrival Delay" dataDxfId="6"/>
    <tableColumn id="9" name="Clean Arrival Delay">
      <calculatedColumnFormula>IF(H2="",E2,H2)</calculatedColumnFormula>
    </tableColumn>
    <tableColumn id="10" name="Seat Comfort" dataDxfId="5"/>
    <tableColumn id="11" name="Inflight Service" dataDxfId="4"/>
    <tableColumn id="12" name="Cleanliness" dataDxfId="3"/>
    <tableColumn id="13" name="Rating" dataDxfId="2">
      <calculatedColumnFormula>IF(COUNT(J2:L2)=0,"",AVERAGE(J2:L2))</calculatedColumnFormula>
    </tableColumn>
    <tableColumn id="14" name="Label" dataDxfId="1">
      <calculatedColumnFormula>IF(M2="","",IF(M2&lt;2.5,"Poor",IF(M2&lt;3.5,"Average","Good")))</calculatedColumnFormula>
    </tableColumn>
    <tableColumn id="15" name="Satisfac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7"/>
  <sheetViews>
    <sheetView workbookViewId="0">
      <selection activeCell="J23" sqref="J23"/>
    </sheetView>
  </sheetViews>
  <sheetFormatPr defaultRowHeight="14.4" x14ac:dyDescent="0.3"/>
  <cols>
    <col min="1" max="1" width="18.77734375" bestFit="1" customWidth="1"/>
    <col min="2" max="2" width="19.44140625" bestFit="1" customWidth="1"/>
    <col min="3" max="3" width="8.109375" customWidth="1"/>
    <col min="4" max="4" width="10.77734375" bestFit="1" customWidth="1"/>
  </cols>
  <sheetData>
    <row r="3" spans="1:4" x14ac:dyDescent="0.3">
      <c r="A3" s="25" t="s">
        <v>32</v>
      </c>
      <c r="B3" s="25" t="s">
        <v>31</v>
      </c>
    </row>
    <row r="4" spans="1:4" x14ac:dyDescent="0.3">
      <c r="A4" s="25" t="s">
        <v>29</v>
      </c>
      <c r="B4" t="s">
        <v>14</v>
      </c>
      <c r="C4" t="s">
        <v>16</v>
      </c>
      <c r="D4" t="s">
        <v>30</v>
      </c>
    </row>
    <row r="5" spans="1:4" x14ac:dyDescent="0.3">
      <c r="A5" s="26" t="s">
        <v>12</v>
      </c>
      <c r="B5" s="27">
        <v>37</v>
      </c>
      <c r="C5" s="27">
        <v>32</v>
      </c>
      <c r="D5" s="27">
        <v>69</v>
      </c>
    </row>
    <row r="6" spans="1:4" x14ac:dyDescent="0.3">
      <c r="A6" s="26" t="s">
        <v>18</v>
      </c>
      <c r="B6" s="27">
        <v>35</v>
      </c>
      <c r="C6" s="27">
        <v>35</v>
      </c>
      <c r="D6" s="27">
        <v>70</v>
      </c>
    </row>
    <row r="7" spans="1:4" x14ac:dyDescent="0.3">
      <c r="A7" s="26" t="s">
        <v>30</v>
      </c>
      <c r="B7" s="27">
        <v>72</v>
      </c>
      <c r="C7" s="27">
        <v>67</v>
      </c>
      <c r="D7" s="27">
        <v>139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3"/>
  <sheetViews>
    <sheetView workbookViewId="0">
      <selection activeCell="D4" sqref="D4"/>
    </sheetView>
  </sheetViews>
  <sheetFormatPr defaultRowHeight="14.4" x14ac:dyDescent="0.3"/>
  <cols>
    <col min="1" max="1" width="18.77734375" customWidth="1"/>
    <col min="2" max="2" width="19.44140625" customWidth="1"/>
    <col min="3" max="3" width="8.109375" customWidth="1"/>
    <col min="4" max="4" width="10.77734375" bestFit="1" customWidth="1"/>
  </cols>
  <sheetData>
    <row r="3" spans="1:7" x14ac:dyDescent="0.3">
      <c r="A3" s="25" t="s">
        <v>32</v>
      </c>
      <c r="B3" s="25" t="s">
        <v>31</v>
      </c>
    </row>
    <row r="4" spans="1:7" x14ac:dyDescent="0.3">
      <c r="A4" s="25" t="s">
        <v>29</v>
      </c>
      <c r="B4" t="s">
        <v>14</v>
      </c>
      <c r="C4" t="s">
        <v>16</v>
      </c>
      <c r="D4" t="s">
        <v>30</v>
      </c>
    </row>
    <row r="5" spans="1:7" x14ac:dyDescent="0.3">
      <c r="A5" s="26" t="s">
        <v>15</v>
      </c>
      <c r="B5" s="27">
        <v>14</v>
      </c>
      <c r="C5" s="27">
        <v>26</v>
      </c>
      <c r="D5" s="27">
        <v>40</v>
      </c>
    </row>
    <row r="6" spans="1:7" x14ac:dyDescent="0.3">
      <c r="A6" s="26" t="s">
        <v>13</v>
      </c>
      <c r="B6" s="27">
        <v>34</v>
      </c>
      <c r="C6" s="27">
        <v>24</v>
      </c>
      <c r="D6" s="27">
        <v>58</v>
      </c>
    </row>
    <row r="7" spans="1:7" x14ac:dyDescent="0.3">
      <c r="A7" s="26" t="s">
        <v>19</v>
      </c>
      <c r="B7" s="27">
        <v>24</v>
      </c>
      <c r="C7" s="27">
        <v>17</v>
      </c>
      <c r="D7" s="27">
        <v>41</v>
      </c>
    </row>
    <row r="8" spans="1:7" x14ac:dyDescent="0.3">
      <c r="A8" s="26" t="s">
        <v>30</v>
      </c>
      <c r="B8" s="27">
        <v>72</v>
      </c>
      <c r="C8" s="27">
        <v>67</v>
      </c>
      <c r="D8" s="27">
        <v>139</v>
      </c>
    </row>
    <row r="13" spans="1:7" x14ac:dyDescent="0.3">
      <c r="G13">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6"/>
  <sheetViews>
    <sheetView workbookViewId="0">
      <selection activeCell="G21" sqref="G21"/>
    </sheetView>
  </sheetViews>
  <sheetFormatPr defaultRowHeight="14.4" x14ac:dyDescent="0.3"/>
  <cols>
    <col min="1" max="1" width="18.77734375" bestFit="1" customWidth="1"/>
    <col min="2" max="2" width="19.44140625" bestFit="1" customWidth="1"/>
    <col min="3" max="3" width="8.109375" customWidth="1"/>
    <col min="4" max="4" width="10.77734375" bestFit="1" customWidth="1"/>
  </cols>
  <sheetData>
    <row r="3" spans="1:4" x14ac:dyDescent="0.3">
      <c r="A3" s="25" t="s">
        <v>32</v>
      </c>
      <c r="B3" s="25" t="s">
        <v>31</v>
      </c>
    </row>
    <row r="4" spans="1:4" x14ac:dyDescent="0.3">
      <c r="A4" s="25" t="s">
        <v>29</v>
      </c>
      <c r="B4" t="s">
        <v>14</v>
      </c>
      <c r="C4" t="s">
        <v>16</v>
      </c>
      <c r="D4" t="s">
        <v>30</v>
      </c>
    </row>
    <row r="5" spans="1:4" x14ac:dyDescent="0.3">
      <c r="A5" s="26" t="s">
        <v>11</v>
      </c>
      <c r="B5" s="27">
        <v>72</v>
      </c>
      <c r="C5" s="27">
        <v>67</v>
      </c>
      <c r="D5" s="27">
        <v>139</v>
      </c>
    </row>
    <row r="6" spans="1:4" x14ac:dyDescent="0.3">
      <c r="A6" s="26" t="s">
        <v>30</v>
      </c>
      <c r="B6" s="27">
        <v>72</v>
      </c>
      <c r="C6" s="27">
        <v>67</v>
      </c>
      <c r="D6" s="27">
        <v>139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B3" sqref="B3"/>
    </sheetView>
  </sheetViews>
  <sheetFormatPr defaultRowHeight="14.4" x14ac:dyDescent="0.3"/>
  <cols>
    <col min="1" max="1" width="12.5546875" customWidth="1"/>
    <col min="2" max="2" width="21.77734375" bestFit="1" customWidth="1"/>
  </cols>
  <sheetData>
    <row r="3" spans="1:2" x14ac:dyDescent="0.3">
      <c r="A3" s="25" t="s">
        <v>29</v>
      </c>
      <c r="B3" t="s">
        <v>33</v>
      </c>
    </row>
    <row r="4" spans="1:2" x14ac:dyDescent="0.3">
      <c r="A4" s="26" t="s">
        <v>12</v>
      </c>
      <c r="B4" s="27">
        <v>69</v>
      </c>
    </row>
    <row r="5" spans="1:2" x14ac:dyDescent="0.3">
      <c r="A5" s="26" t="s">
        <v>18</v>
      </c>
      <c r="B5" s="27">
        <v>70</v>
      </c>
    </row>
    <row r="6" spans="1:2" x14ac:dyDescent="0.3">
      <c r="A6" s="26" t="s">
        <v>30</v>
      </c>
      <c r="B6" s="27">
        <v>139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6" sqref="B6"/>
    </sheetView>
  </sheetViews>
  <sheetFormatPr defaultRowHeight="14.4" x14ac:dyDescent="0.3"/>
  <cols>
    <col min="1" max="1" width="12.5546875" customWidth="1"/>
    <col min="2" max="2" width="18.77734375" customWidth="1"/>
    <col min="3" max="3" width="8.109375" customWidth="1"/>
    <col min="4" max="4" width="10.77734375" customWidth="1"/>
    <col min="5" max="5" width="26.5546875" bestFit="1" customWidth="1"/>
    <col min="6" max="6" width="21.6640625" bestFit="1" customWidth="1"/>
  </cols>
  <sheetData>
    <row r="3" spans="1:2" x14ac:dyDescent="0.3">
      <c r="A3" s="25" t="s">
        <v>29</v>
      </c>
      <c r="B3" t="s">
        <v>32</v>
      </c>
    </row>
    <row r="4" spans="1:2" x14ac:dyDescent="0.3">
      <c r="A4" s="26" t="s">
        <v>35</v>
      </c>
      <c r="B4" s="27">
        <v>74</v>
      </c>
    </row>
    <row r="5" spans="1:2" x14ac:dyDescent="0.3">
      <c r="A5" s="26" t="s">
        <v>36</v>
      </c>
      <c r="B5" s="27">
        <v>42</v>
      </c>
    </row>
    <row r="6" spans="1:2" x14ac:dyDescent="0.3">
      <c r="A6" s="26" t="s">
        <v>37</v>
      </c>
      <c r="B6" s="27">
        <v>23</v>
      </c>
    </row>
    <row r="7" spans="1:2" x14ac:dyDescent="0.3">
      <c r="A7" s="26" t="s">
        <v>30</v>
      </c>
      <c r="B7" s="27">
        <v>139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6" sqref="B6"/>
    </sheetView>
  </sheetViews>
  <sheetFormatPr defaultRowHeight="14.4" x14ac:dyDescent="0.3"/>
  <cols>
    <col min="1" max="1" width="12.5546875" customWidth="1"/>
    <col min="2" max="2" width="20.109375" bestFit="1" customWidth="1"/>
  </cols>
  <sheetData>
    <row r="3" spans="1:2" x14ac:dyDescent="0.3">
      <c r="A3" s="25" t="s">
        <v>29</v>
      </c>
      <c r="B3" t="s">
        <v>34</v>
      </c>
    </row>
    <row r="4" spans="1:2" x14ac:dyDescent="0.3">
      <c r="A4" s="28">
        <v>1</v>
      </c>
      <c r="B4" s="27">
        <v>23</v>
      </c>
    </row>
    <row r="5" spans="1:2" x14ac:dyDescent="0.3">
      <c r="A5" s="28">
        <v>2</v>
      </c>
      <c r="B5" s="27">
        <v>30</v>
      </c>
    </row>
    <row r="6" spans="1:2" x14ac:dyDescent="0.3">
      <c r="A6" s="28">
        <v>3</v>
      </c>
      <c r="B6" s="27">
        <v>24</v>
      </c>
    </row>
    <row r="7" spans="1:2" x14ac:dyDescent="0.3">
      <c r="A7" s="28">
        <v>4</v>
      </c>
      <c r="B7" s="27">
        <v>27</v>
      </c>
    </row>
    <row r="8" spans="1:2" x14ac:dyDescent="0.3">
      <c r="A8" s="28">
        <v>5</v>
      </c>
      <c r="B8" s="27">
        <v>35</v>
      </c>
    </row>
    <row r="9" spans="1:2" x14ac:dyDescent="0.3">
      <c r="A9" s="28" t="s">
        <v>30</v>
      </c>
      <c r="B9" s="27">
        <v>139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7"/>
  <sheetViews>
    <sheetView topLeftCell="F1" workbookViewId="0">
      <selection activeCell="F23" sqref="F23"/>
    </sheetView>
  </sheetViews>
  <sheetFormatPr defaultRowHeight="14.4" x14ac:dyDescent="0.3"/>
  <cols>
    <col min="1" max="1" width="9.5546875" style="3" bestFit="1" customWidth="1"/>
    <col min="2" max="2" width="10.109375" style="4" customWidth="1"/>
    <col min="3" max="3" width="18.21875" style="4" customWidth="1"/>
    <col min="4" max="4" width="11" style="4" customWidth="1"/>
    <col min="5" max="5" width="21.33203125" style="3" customWidth="1"/>
    <col min="6" max="6" width="20.33203125" style="10" customWidth="1"/>
    <col min="7" max="7" width="23.88671875" style="3" customWidth="1"/>
    <col min="8" max="8" width="19.77734375" style="3" customWidth="1"/>
    <col min="9" max="9" width="22.44140625" style="3" customWidth="1"/>
    <col min="10" max="10" width="25.109375" style="3" customWidth="1"/>
    <col min="11" max="11" width="19.21875" style="3" customWidth="1"/>
    <col min="12" max="12" width="14.21875" style="3" customWidth="1"/>
    <col min="13" max="14" width="12.5546875" style="10" customWidth="1"/>
    <col min="15" max="15" width="23.109375" style="4" customWidth="1"/>
  </cols>
  <sheetData>
    <row r="1" spans="1:15" x14ac:dyDescent="0.3">
      <c r="A1" s="5" t="s">
        <v>0</v>
      </c>
      <c r="B1" s="6" t="s">
        <v>1</v>
      </c>
      <c r="C1" s="6" t="s">
        <v>2</v>
      </c>
      <c r="D1" s="6" t="s">
        <v>3</v>
      </c>
      <c r="E1" s="5" t="s">
        <v>4</v>
      </c>
      <c r="F1" s="9" t="s">
        <v>23</v>
      </c>
      <c r="G1" s="5" t="s">
        <v>5</v>
      </c>
      <c r="H1" s="5" t="s">
        <v>6</v>
      </c>
      <c r="I1" s="5" t="s">
        <v>21</v>
      </c>
      <c r="J1" s="5" t="s">
        <v>7</v>
      </c>
      <c r="K1" s="5" t="s">
        <v>8</v>
      </c>
      <c r="L1" s="5" t="s">
        <v>9</v>
      </c>
      <c r="M1" s="9" t="s">
        <v>20</v>
      </c>
      <c r="N1" s="9" t="s">
        <v>22</v>
      </c>
      <c r="O1" s="6" t="s">
        <v>10</v>
      </c>
    </row>
    <row r="2" spans="1:15" x14ac:dyDescent="0.3">
      <c r="A2" s="7">
        <v>70204</v>
      </c>
      <c r="B2" s="8" t="s">
        <v>11</v>
      </c>
      <c r="C2" s="8" t="s">
        <v>12</v>
      </c>
      <c r="D2" s="8" t="s">
        <v>13</v>
      </c>
      <c r="E2" s="7">
        <v>2277</v>
      </c>
      <c r="F2" s="11" t="str">
        <f>IF(E2="","",IF(E2&lt;500,"Short",IF(E2&lt;=1500,"Medium","Long")))</f>
        <v>Long</v>
      </c>
      <c r="G2" s="7">
        <v>40</v>
      </c>
      <c r="H2" s="7">
        <v>50</v>
      </c>
      <c r="I2">
        <f t="shared" ref="I2:I65" si="0">IF(H2="",E2,H2)</f>
        <v>50</v>
      </c>
      <c r="J2" s="7">
        <v>2</v>
      </c>
      <c r="K2" s="7">
        <v>5</v>
      </c>
      <c r="L2" s="7">
        <v>4</v>
      </c>
      <c r="M2" s="10">
        <f t="shared" ref="M2:M65" si="1">IF(COUNT(J2:L2)=0,"",AVERAGE(J2:L2))</f>
        <v>3.6666666666666665</v>
      </c>
      <c r="N2" s="11" t="str">
        <f t="shared" ref="N2:N65" si="2">IF(M2="","",IF(M2&lt;2.5,"Poor",IF(M2&lt;3.5,"Average","Good")))</f>
        <v>Good</v>
      </c>
      <c r="O2" s="8" t="s">
        <v>14</v>
      </c>
    </row>
    <row r="3" spans="1:15" x14ac:dyDescent="0.3">
      <c r="A3" s="7">
        <v>70246</v>
      </c>
      <c r="B3" s="8" t="s">
        <v>11</v>
      </c>
      <c r="C3" s="8" t="s">
        <v>12</v>
      </c>
      <c r="D3" s="8" t="s">
        <v>15</v>
      </c>
      <c r="E3" s="7">
        <v>480</v>
      </c>
      <c r="F3" s="11" t="str">
        <f t="shared" ref="F3:F66" si="3">IF(E3="","",IF(E3&lt;500,"Short",IF(E3&lt;=1500,"Medium","Long")))</f>
        <v>Short</v>
      </c>
      <c r="G3" s="7">
        <v>90</v>
      </c>
      <c r="H3" s="7">
        <v>51</v>
      </c>
      <c r="I3">
        <f t="shared" si="0"/>
        <v>51</v>
      </c>
      <c r="J3" s="7">
        <v>2</v>
      </c>
      <c r="K3" s="7">
        <v>3</v>
      </c>
      <c r="L3" s="7">
        <v>2</v>
      </c>
      <c r="M3" s="10">
        <f t="shared" si="1"/>
        <v>2.3333333333333335</v>
      </c>
      <c r="N3" s="11" t="str">
        <f t="shared" si="2"/>
        <v>Poor</v>
      </c>
      <c r="O3" s="8" t="s">
        <v>14</v>
      </c>
    </row>
    <row r="4" spans="1:15" x14ac:dyDescent="0.3">
      <c r="A4" s="7">
        <v>70129</v>
      </c>
      <c r="B4" s="8" t="s">
        <v>11</v>
      </c>
      <c r="C4" s="8" t="s">
        <v>12</v>
      </c>
      <c r="D4" s="8" t="s">
        <v>13</v>
      </c>
      <c r="E4" s="7">
        <v>2113</v>
      </c>
      <c r="F4" s="11" t="str">
        <f t="shared" si="3"/>
        <v>Long</v>
      </c>
      <c r="G4" s="7">
        <v>0</v>
      </c>
      <c r="H4" s="7">
        <v>9</v>
      </c>
      <c r="I4">
        <f t="shared" si="0"/>
        <v>9</v>
      </c>
      <c r="J4" s="7">
        <v>4</v>
      </c>
      <c r="K4" s="7">
        <v>1</v>
      </c>
      <c r="L4" s="7">
        <v>4</v>
      </c>
      <c r="M4" s="10">
        <f t="shared" si="1"/>
        <v>3</v>
      </c>
      <c r="N4" s="11" t="str">
        <f t="shared" si="2"/>
        <v>Average</v>
      </c>
      <c r="O4" s="8" t="s">
        <v>16</v>
      </c>
    </row>
    <row r="5" spans="1:15" x14ac:dyDescent="0.3">
      <c r="A5" s="7">
        <v>70128</v>
      </c>
      <c r="B5" s="8" t="s">
        <v>17</v>
      </c>
      <c r="C5" s="8" t="s">
        <v>18</v>
      </c>
      <c r="D5" s="8" t="s">
        <v>15</v>
      </c>
      <c r="E5" s="7">
        <v>2583</v>
      </c>
      <c r="F5" s="11" t="str">
        <f t="shared" si="3"/>
        <v>Long</v>
      </c>
      <c r="G5" s="7">
        <v>90</v>
      </c>
      <c r="H5" s="7">
        <v>90</v>
      </c>
      <c r="I5">
        <f t="shared" si="0"/>
        <v>90</v>
      </c>
      <c r="J5" s="7">
        <v>1</v>
      </c>
      <c r="K5" s="7">
        <v>5</v>
      </c>
      <c r="L5" s="7">
        <v>5</v>
      </c>
      <c r="M5" s="10">
        <f t="shared" si="1"/>
        <v>3.6666666666666665</v>
      </c>
      <c r="N5" s="11" t="str">
        <f t="shared" si="2"/>
        <v>Good</v>
      </c>
      <c r="O5" s="8" t="s">
        <v>16</v>
      </c>
    </row>
    <row r="6" spans="1:15" x14ac:dyDescent="0.3">
      <c r="A6" s="7">
        <v>70028</v>
      </c>
      <c r="B6" s="8" t="s">
        <v>17</v>
      </c>
      <c r="C6" s="8" t="s">
        <v>18</v>
      </c>
      <c r="D6" s="8" t="s">
        <v>13</v>
      </c>
      <c r="E6" s="7">
        <v>358</v>
      </c>
      <c r="F6" s="11" t="str">
        <f t="shared" si="3"/>
        <v>Short</v>
      </c>
      <c r="G6" s="7">
        <v>0</v>
      </c>
      <c r="H6" s="7">
        <v>0</v>
      </c>
      <c r="I6">
        <f t="shared" si="0"/>
        <v>0</v>
      </c>
      <c r="J6" s="7">
        <v>1</v>
      </c>
      <c r="K6" s="7">
        <v>4</v>
      </c>
      <c r="L6" s="7">
        <v>1</v>
      </c>
      <c r="M6" s="10">
        <f t="shared" si="1"/>
        <v>2</v>
      </c>
      <c r="N6" s="11" t="str">
        <f t="shared" si="2"/>
        <v>Poor</v>
      </c>
      <c r="O6" s="8" t="s">
        <v>14</v>
      </c>
    </row>
    <row r="7" spans="1:15" x14ac:dyDescent="0.3">
      <c r="A7" s="7">
        <v>70207</v>
      </c>
      <c r="B7" s="8" t="s">
        <v>11</v>
      </c>
      <c r="C7" s="8" t="s">
        <v>12</v>
      </c>
      <c r="D7" s="8" t="s">
        <v>13</v>
      </c>
      <c r="E7" s="7">
        <v>1821</v>
      </c>
      <c r="F7" s="11" t="str">
        <f t="shared" si="3"/>
        <v>Long</v>
      </c>
      <c r="G7" s="7">
        <v>0</v>
      </c>
      <c r="H7" s="7">
        <v>0</v>
      </c>
      <c r="I7">
        <f t="shared" si="0"/>
        <v>0</v>
      </c>
      <c r="J7" s="7">
        <v>3</v>
      </c>
      <c r="K7" s="7">
        <v>3</v>
      </c>
      <c r="L7" s="7">
        <v>2</v>
      </c>
      <c r="M7" s="10">
        <f t="shared" si="1"/>
        <v>2.6666666666666665</v>
      </c>
      <c r="N7" s="11" t="str">
        <f t="shared" si="2"/>
        <v>Average</v>
      </c>
      <c r="O7" s="8" t="s">
        <v>14</v>
      </c>
    </row>
    <row r="8" spans="1:15" x14ac:dyDescent="0.3">
      <c r="A8" s="7">
        <v>70003</v>
      </c>
      <c r="B8" s="8" t="s">
        <v>17</v>
      </c>
      <c r="C8" s="8" t="s">
        <v>12</v>
      </c>
      <c r="D8" s="8" t="s">
        <v>15</v>
      </c>
      <c r="E8" s="7">
        <v>1714</v>
      </c>
      <c r="F8" s="11" t="str">
        <f t="shared" si="3"/>
        <v>Long</v>
      </c>
      <c r="G8" s="7">
        <v>5</v>
      </c>
      <c r="H8" s="7">
        <v>14</v>
      </c>
      <c r="I8">
        <f t="shared" si="0"/>
        <v>14</v>
      </c>
      <c r="J8" s="7">
        <v>4</v>
      </c>
      <c r="K8" s="7">
        <v>5</v>
      </c>
      <c r="L8" s="7">
        <v>3</v>
      </c>
      <c r="M8" s="10">
        <f t="shared" si="1"/>
        <v>4</v>
      </c>
      <c r="N8" s="11" t="str">
        <f t="shared" si="2"/>
        <v>Good</v>
      </c>
      <c r="O8" s="8" t="s">
        <v>16</v>
      </c>
    </row>
    <row r="9" spans="1:15" x14ac:dyDescent="0.3">
      <c r="A9" s="7">
        <v>70213</v>
      </c>
      <c r="B9" s="8" t="s">
        <v>11</v>
      </c>
      <c r="C9" s="8" t="s">
        <v>18</v>
      </c>
      <c r="D9" s="8" t="s">
        <v>19</v>
      </c>
      <c r="E9" s="7">
        <v>959</v>
      </c>
      <c r="F9" s="11" t="str">
        <f t="shared" si="3"/>
        <v>Medium</v>
      </c>
      <c r="G9" s="7">
        <v>5</v>
      </c>
      <c r="H9" s="7">
        <v>9</v>
      </c>
      <c r="I9">
        <f t="shared" si="0"/>
        <v>9</v>
      </c>
      <c r="J9" s="7">
        <v>1</v>
      </c>
      <c r="K9" s="7">
        <v>3</v>
      </c>
      <c r="L9" s="7">
        <v>2</v>
      </c>
      <c r="M9" s="10">
        <f t="shared" si="1"/>
        <v>2</v>
      </c>
      <c r="N9" s="11" t="str">
        <f t="shared" si="2"/>
        <v>Poor</v>
      </c>
      <c r="O9" s="8" t="s">
        <v>14</v>
      </c>
    </row>
    <row r="10" spans="1:15" x14ac:dyDescent="0.3">
      <c r="A10" s="7">
        <v>70033</v>
      </c>
      <c r="B10" s="8" t="s">
        <v>17</v>
      </c>
      <c r="C10" s="8" t="s">
        <v>18</v>
      </c>
      <c r="D10" s="8" t="s">
        <v>19</v>
      </c>
      <c r="E10" s="7">
        <v>1064</v>
      </c>
      <c r="F10" s="11" t="str">
        <f t="shared" si="3"/>
        <v>Medium</v>
      </c>
      <c r="G10" s="7">
        <v>40</v>
      </c>
      <c r="H10" s="7">
        <v>46</v>
      </c>
      <c r="I10">
        <f t="shared" si="0"/>
        <v>46</v>
      </c>
      <c r="J10" s="7">
        <v>1</v>
      </c>
      <c r="K10" s="7">
        <v>4</v>
      </c>
      <c r="L10" s="7">
        <v>2</v>
      </c>
      <c r="M10" s="10">
        <f t="shared" si="1"/>
        <v>2.3333333333333335</v>
      </c>
      <c r="N10" s="11" t="str">
        <f t="shared" si="2"/>
        <v>Poor</v>
      </c>
      <c r="O10" s="8" t="s">
        <v>14</v>
      </c>
    </row>
    <row r="11" spans="1:15" x14ac:dyDescent="0.3">
      <c r="A11" s="7">
        <v>70235</v>
      </c>
      <c r="B11" s="8" t="s">
        <v>11</v>
      </c>
      <c r="C11" s="8" t="s">
        <v>18</v>
      </c>
      <c r="D11" s="8" t="s">
        <v>19</v>
      </c>
      <c r="E11" s="7">
        <v>2551</v>
      </c>
      <c r="F11" s="11" t="str">
        <f t="shared" si="3"/>
        <v>Long</v>
      </c>
      <c r="G11" s="7">
        <v>0</v>
      </c>
      <c r="H11" s="7">
        <v>8</v>
      </c>
      <c r="I11">
        <f t="shared" si="0"/>
        <v>8</v>
      </c>
      <c r="J11" s="7">
        <v>3</v>
      </c>
      <c r="K11" s="7">
        <v>3</v>
      </c>
      <c r="L11" s="7">
        <v>4</v>
      </c>
      <c r="M11" s="10">
        <f t="shared" si="1"/>
        <v>3.3333333333333335</v>
      </c>
      <c r="N11" s="11" t="str">
        <f t="shared" si="2"/>
        <v>Average</v>
      </c>
      <c r="O11" s="8" t="s">
        <v>14</v>
      </c>
    </row>
    <row r="12" spans="1:15" x14ac:dyDescent="0.3">
      <c r="A12" s="7">
        <v>70110</v>
      </c>
      <c r="B12" s="8" t="s">
        <v>11</v>
      </c>
      <c r="C12" s="8" t="s">
        <v>18</v>
      </c>
      <c r="D12" s="8" t="s">
        <v>15</v>
      </c>
      <c r="E12" s="7">
        <v>2959</v>
      </c>
      <c r="F12" s="11" t="str">
        <f t="shared" si="3"/>
        <v>Long</v>
      </c>
      <c r="G12" s="7">
        <v>5</v>
      </c>
      <c r="H12" s="7">
        <v>0</v>
      </c>
      <c r="I12">
        <f t="shared" si="0"/>
        <v>0</v>
      </c>
      <c r="J12" s="7">
        <v>1</v>
      </c>
      <c r="K12" s="7">
        <v>4</v>
      </c>
      <c r="L12" s="7">
        <v>2</v>
      </c>
      <c r="M12" s="10">
        <f t="shared" si="1"/>
        <v>2.3333333333333335</v>
      </c>
      <c r="N12" s="11" t="str">
        <f t="shared" si="2"/>
        <v>Poor</v>
      </c>
      <c r="O12" s="8" t="s">
        <v>16</v>
      </c>
    </row>
    <row r="13" spans="1:15" x14ac:dyDescent="0.3">
      <c r="A13" s="7">
        <v>70172</v>
      </c>
      <c r="B13" s="8" t="s">
        <v>11</v>
      </c>
      <c r="C13" s="8" t="s">
        <v>18</v>
      </c>
      <c r="D13" s="8" t="s">
        <v>15</v>
      </c>
      <c r="E13" s="7">
        <v>2380</v>
      </c>
      <c r="F13" s="11" t="str">
        <f t="shared" si="3"/>
        <v>Long</v>
      </c>
      <c r="G13" s="7">
        <v>0</v>
      </c>
      <c r="H13" s="7">
        <v>5</v>
      </c>
      <c r="I13">
        <f t="shared" si="0"/>
        <v>5</v>
      </c>
      <c r="J13" s="7">
        <v>4</v>
      </c>
      <c r="K13" s="7">
        <v>2</v>
      </c>
      <c r="L13" s="7">
        <v>5</v>
      </c>
      <c r="M13" s="10">
        <f t="shared" si="1"/>
        <v>3.6666666666666665</v>
      </c>
      <c r="N13" s="11" t="str">
        <f t="shared" si="2"/>
        <v>Good</v>
      </c>
      <c r="O13" s="8" t="s">
        <v>16</v>
      </c>
    </row>
    <row r="14" spans="1:15" x14ac:dyDescent="0.3">
      <c r="A14" s="7">
        <v>70203</v>
      </c>
      <c r="B14" s="8" t="s">
        <v>11</v>
      </c>
      <c r="C14" s="8" t="s">
        <v>18</v>
      </c>
      <c r="D14" s="8" t="s">
        <v>13</v>
      </c>
      <c r="E14" s="7">
        <v>3431</v>
      </c>
      <c r="F14" s="11" t="str">
        <f t="shared" si="3"/>
        <v>Long</v>
      </c>
      <c r="G14" s="7">
        <v>15</v>
      </c>
      <c r="H14" s="7">
        <v>13</v>
      </c>
      <c r="I14">
        <f t="shared" si="0"/>
        <v>13</v>
      </c>
      <c r="J14" s="7">
        <v>4</v>
      </c>
      <c r="K14" s="7">
        <v>3</v>
      </c>
      <c r="L14" s="7">
        <v>1</v>
      </c>
      <c r="M14" s="10">
        <f t="shared" si="1"/>
        <v>2.6666666666666665</v>
      </c>
      <c r="N14" s="11" t="str">
        <f t="shared" si="2"/>
        <v>Average</v>
      </c>
      <c r="O14" s="8" t="s">
        <v>14</v>
      </c>
    </row>
    <row r="15" spans="1:15" x14ac:dyDescent="0.3">
      <c r="A15" s="7">
        <v>70248</v>
      </c>
      <c r="B15" s="8" t="s">
        <v>11</v>
      </c>
      <c r="C15" s="8" t="s">
        <v>12</v>
      </c>
      <c r="D15" s="8" t="s">
        <v>19</v>
      </c>
      <c r="E15" s="7">
        <v>591</v>
      </c>
      <c r="F15" s="11" t="str">
        <f t="shared" si="3"/>
        <v>Medium</v>
      </c>
      <c r="G15" s="7">
        <v>90</v>
      </c>
      <c r="H15" s="7">
        <v>86</v>
      </c>
      <c r="I15">
        <f t="shared" si="0"/>
        <v>86</v>
      </c>
      <c r="J15" s="7">
        <v>5</v>
      </c>
      <c r="K15" s="7">
        <v>2</v>
      </c>
      <c r="L15" s="7">
        <v>3</v>
      </c>
      <c r="M15" s="10">
        <f t="shared" si="1"/>
        <v>3.3333333333333335</v>
      </c>
      <c r="N15" s="11" t="str">
        <f t="shared" si="2"/>
        <v>Average</v>
      </c>
      <c r="O15" s="8" t="s">
        <v>14</v>
      </c>
    </row>
    <row r="16" spans="1:15" x14ac:dyDescent="0.3">
      <c r="A16" s="7">
        <v>70153</v>
      </c>
      <c r="B16" s="8" t="s">
        <v>17</v>
      </c>
      <c r="C16" s="8" t="s">
        <v>12</v>
      </c>
      <c r="D16" s="8" t="s">
        <v>19</v>
      </c>
      <c r="E16" s="7">
        <v>2416</v>
      </c>
      <c r="F16" s="11" t="str">
        <f t="shared" si="3"/>
        <v>Long</v>
      </c>
      <c r="G16" s="7">
        <v>15</v>
      </c>
      <c r="H16" s="7">
        <v>19</v>
      </c>
      <c r="I16">
        <f t="shared" si="0"/>
        <v>19</v>
      </c>
      <c r="J16" s="7">
        <v>3</v>
      </c>
      <c r="K16" s="7">
        <v>3</v>
      </c>
      <c r="L16" s="7">
        <v>5</v>
      </c>
      <c r="M16" s="10">
        <f t="shared" si="1"/>
        <v>3.6666666666666665</v>
      </c>
      <c r="N16" s="11" t="str">
        <f t="shared" si="2"/>
        <v>Good</v>
      </c>
      <c r="O16" s="8" t="s">
        <v>16</v>
      </c>
    </row>
    <row r="17" spans="1:15" x14ac:dyDescent="0.3">
      <c r="A17" s="7">
        <v>70055</v>
      </c>
      <c r="B17" s="8" t="s">
        <v>11</v>
      </c>
      <c r="C17" s="8" t="s">
        <v>12</v>
      </c>
      <c r="D17" s="8" t="s">
        <v>15</v>
      </c>
      <c r="E17" s="7">
        <v>3045</v>
      </c>
      <c r="F17" s="11" t="str">
        <f t="shared" si="3"/>
        <v>Long</v>
      </c>
      <c r="G17" s="7">
        <v>0</v>
      </c>
      <c r="H17" s="7">
        <v>6</v>
      </c>
      <c r="I17">
        <f t="shared" si="0"/>
        <v>6</v>
      </c>
      <c r="J17" s="7">
        <v>5</v>
      </c>
      <c r="K17" s="7">
        <v>4</v>
      </c>
      <c r="L17" s="7">
        <v>1</v>
      </c>
      <c r="M17" s="10">
        <f t="shared" si="1"/>
        <v>3.3333333333333335</v>
      </c>
      <c r="N17" s="11" t="str">
        <f t="shared" si="2"/>
        <v>Average</v>
      </c>
      <c r="O17" s="8" t="s">
        <v>16</v>
      </c>
    </row>
    <row r="18" spans="1:15" x14ac:dyDescent="0.3">
      <c r="A18" s="7">
        <v>70188</v>
      </c>
      <c r="B18" s="8" t="s">
        <v>17</v>
      </c>
      <c r="C18" s="8" t="s">
        <v>18</v>
      </c>
      <c r="D18" s="8" t="s">
        <v>19</v>
      </c>
      <c r="E18" s="7">
        <v>485</v>
      </c>
      <c r="F18" s="11" t="str">
        <f t="shared" si="3"/>
        <v>Short</v>
      </c>
      <c r="G18" s="7">
        <v>0</v>
      </c>
      <c r="H18" s="7">
        <v>5</v>
      </c>
      <c r="I18">
        <f t="shared" si="0"/>
        <v>5</v>
      </c>
      <c r="J18" s="7">
        <v>5</v>
      </c>
      <c r="K18" s="7">
        <v>4</v>
      </c>
      <c r="L18" s="7">
        <v>2</v>
      </c>
      <c r="M18" s="10">
        <f t="shared" si="1"/>
        <v>3.6666666666666665</v>
      </c>
      <c r="N18" s="11" t="str">
        <f t="shared" si="2"/>
        <v>Good</v>
      </c>
      <c r="O18" s="8" t="s">
        <v>14</v>
      </c>
    </row>
    <row r="19" spans="1:15" x14ac:dyDescent="0.3">
      <c r="A19" s="7">
        <v>70187</v>
      </c>
      <c r="B19" s="8" t="s">
        <v>11</v>
      </c>
      <c r="C19" s="8" t="s">
        <v>12</v>
      </c>
      <c r="D19" s="8" t="s">
        <v>13</v>
      </c>
      <c r="E19" s="7">
        <v>374</v>
      </c>
      <c r="F19" s="11" t="str">
        <f t="shared" si="3"/>
        <v>Short</v>
      </c>
      <c r="G19" s="7">
        <v>0</v>
      </c>
      <c r="H19" s="7">
        <v>4</v>
      </c>
      <c r="I19">
        <f t="shared" si="0"/>
        <v>4</v>
      </c>
      <c r="J19" s="7">
        <v>3</v>
      </c>
      <c r="K19" s="7">
        <v>1</v>
      </c>
      <c r="L19" s="7">
        <v>2</v>
      </c>
      <c r="M19" s="10">
        <f t="shared" si="1"/>
        <v>2</v>
      </c>
      <c r="N19" s="11" t="str">
        <f t="shared" si="2"/>
        <v>Poor</v>
      </c>
      <c r="O19" s="8" t="s">
        <v>14</v>
      </c>
    </row>
    <row r="20" spans="1:15" x14ac:dyDescent="0.3">
      <c r="A20" s="7">
        <v>70123</v>
      </c>
      <c r="B20" s="8" t="s">
        <v>17</v>
      </c>
      <c r="C20" s="8" t="s">
        <v>18</v>
      </c>
      <c r="D20" s="8" t="s">
        <v>13</v>
      </c>
      <c r="E20" s="7">
        <v>2957</v>
      </c>
      <c r="F20" s="11" t="str">
        <f t="shared" si="3"/>
        <v>Long</v>
      </c>
      <c r="G20" s="7">
        <v>40</v>
      </c>
      <c r="H20" s="7">
        <v>41</v>
      </c>
      <c r="I20">
        <f t="shared" si="0"/>
        <v>41</v>
      </c>
      <c r="J20" s="7">
        <v>2</v>
      </c>
      <c r="K20" s="7">
        <v>4</v>
      </c>
      <c r="L20" s="7">
        <v>4</v>
      </c>
      <c r="M20" s="10">
        <f t="shared" si="1"/>
        <v>3.3333333333333335</v>
      </c>
      <c r="N20" s="11" t="str">
        <f t="shared" si="2"/>
        <v>Average</v>
      </c>
      <c r="O20" s="8" t="s">
        <v>14</v>
      </c>
    </row>
    <row r="21" spans="1:15" x14ac:dyDescent="0.3">
      <c r="A21" s="7">
        <v>70156</v>
      </c>
      <c r="B21" s="8" t="s">
        <v>11</v>
      </c>
      <c r="C21" s="8" t="s">
        <v>18</v>
      </c>
      <c r="D21" s="8" t="s">
        <v>13</v>
      </c>
      <c r="E21" s="7">
        <v>574</v>
      </c>
      <c r="F21" s="11" t="str">
        <f t="shared" si="3"/>
        <v>Medium</v>
      </c>
      <c r="G21" s="7">
        <v>90</v>
      </c>
      <c r="H21" s="7">
        <v>87</v>
      </c>
      <c r="I21">
        <f t="shared" si="0"/>
        <v>87</v>
      </c>
      <c r="J21" s="7">
        <v>4</v>
      </c>
      <c r="K21" s="7">
        <v>2</v>
      </c>
      <c r="L21" s="7">
        <v>2</v>
      </c>
      <c r="M21" s="10">
        <f t="shared" si="1"/>
        <v>2.6666666666666665</v>
      </c>
      <c r="N21" s="11" t="str">
        <f t="shared" si="2"/>
        <v>Average</v>
      </c>
      <c r="O21" s="8" t="s">
        <v>14</v>
      </c>
    </row>
    <row r="22" spans="1:15" x14ac:dyDescent="0.3">
      <c r="A22" s="7">
        <v>70106</v>
      </c>
      <c r="B22" s="8" t="s">
        <v>11</v>
      </c>
      <c r="C22" s="8" t="s">
        <v>18</v>
      </c>
      <c r="D22" s="8" t="s">
        <v>15</v>
      </c>
      <c r="E22" s="7">
        <v>378</v>
      </c>
      <c r="F22" s="11" t="str">
        <f t="shared" si="3"/>
        <v>Short</v>
      </c>
      <c r="G22" s="7">
        <v>40</v>
      </c>
      <c r="H22" s="7">
        <v>43</v>
      </c>
      <c r="I22">
        <f t="shared" si="0"/>
        <v>43</v>
      </c>
      <c r="J22" s="7">
        <v>5</v>
      </c>
      <c r="K22" s="7">
        <v>5</v>
      </c>
      <c r="L22" s="7">
        <v>2</v>
      </c>
      <c r="M22" s="10">
        <f t="shared" si="1"/>
        <v>4</v>
      </c>
      <c r="N22" s="11" t="str">
        <f t="shared" si="2"/>
        <v>Good</v>
      </c>
      <c r="O22" s="8" t="s">
        <v>16</v>
      </c>
    </row>
    <row r="23" spans="1:15" x14ac:dyDescent="0.3">
      <c r="A23" s="7">
        <v>70077</v>
      </c>
      <c r="B23" s="8" t="s">
        <v>11</v>
      </c>
      <c r="C23" s="8" t="s">
        <v>18</v>
      </c>
      <c r="D23" s="8" t="s">
        <v>15</v>
      </c>
      <c r="E23" s="7">
        <v>758</v>
      </c>
      <c r="F23" s="11" t="str">
        <f t="shared" si="3"/>
        <v>Medium</v>
      </c>
      <c r="G23" s="7">
        <v>0</v>
      </c>
      <c r="H23" s="7">
        <v>0</v>
      </c>
      <c r="I23">
        <f t="shared" si="0"/>
        <v>0</v>
      </c>
      <c r="J23" s="7">
        <v>2</v>
      </c>
      <c r="K23" s="7">
        <v>3</v>
      </c>
      <c r="L23" s="7">
        <v>4</v>
      </c>
      <c r="M23" s="10">
        <f t="shared" si="1"/>
        <v>3</v>
      </c>
      <c r="N23" s="11" t="str">
        <f t="shared" si="2"/>
        <v>Average</v>
      </c>
      <c r="O23" s="8" t="s">
        <v>16</v>
      </c>
    </row>
    <row r="24" spans="1:15" x14ac:dyDescent="0.3">
      <c r="A24" s="7">
        <v>70113</v>
      </c>
      <c r="B24" s="8" t="s">
        <v>11</v>
      </c>
      <c r="C24" s="8" t="s">
        <v>12</v>
      </c>
      <c r="D24" s="8" t="s">
        <v>13</v>
      </c>
      <c r="E24" s="7">
        <v>3128</v>
      </c>
      <c r="F24" s="11" t="str">
        <f t="shared" si="3"/>
        <v>Long</v>
      </c>
      <c r="G24" s="7">
        <v>0</v>
      </c>
      <c r="H24" s="7">
        <v>8</v>
      </c>
      <c r="I24">
        <f t="shared" si="0"/>
        <v>8</v>
      </c>
      <c r="J24" s="7">
        <v>2</v>
      </c>
      <c r="K24" s="7">
        <v>2</v>
      </c>
      <c r="L24" s="7">
        <v>1</v>
      </c>
      <c r="M24" s="10">
        <f t="shared" si="1"/>
        <v>1.6666666666666667</v>
      </c>
      <c r="N24" s="11" t="str">
        <f t="shared" si="2"/>
        <v>Poor</v>
      </c>
      <c r="O24" s="8" t="s">
        <v>14</v>
      </c>
    </row>
    <row r="25" spans="1:15" x14ac:dyDescent="0.3">
      <c r="A25" s="7">
        <v>70115</v>
      </c>
      <c r="B25" s="8" t="s">
        <v>17</v>
      </c>
      <c r="C25" s="8" t="s">
        <v>18</v>
      </c>
      <c r="D25" s="8" t="s">
        <v>15</v>
      </c>
      <c r="E25" s="7">
        <v>3201</v>
      </c>
      <c r="F25" s="11" t="str">
        <f t="shared" si="3"/>
        <v>Long</v>
      </c>
      <c r="G25" s="7">
        <v>0</v>
      </c>
      <c r="H25" s="7">
        <v>10</v>
      </c>
      <c r="I25">
        <f t="shared" si="0"/>
        <v>10</v>
      </c>
      <c r="J25" s="7">
        <v>5</v>
      </c>
      <c r="K25" s="7">
        <v>5</v>
      </c>
      <c r="L25" s="7">
        <v>1</v>
      </c>
      <c r="M25" s="10">
        <f t="shared" si="1"/>
        <v>3.6666666666666665</v>
      </c>
      <c r="N25" s="11" t="str">
        <f t="shared" si="2"/>
        <v>Good</v>
      </c>
      <c r="O25" s="8" t="s">
        <v>14</v>
      </c>
    </row>
    <row r="26" spans="1:15" x14ac:dyDescent="0.3">
      <c r="A26" s="7">
        <v>70168</v>
      </c>
      <c r="B26" s="8" t="s">
        <v>11</v>
      </c>
      <c r="C26" s="8" t="s">
        <v>18</v>
      </c>
      <c r="D26" s="8" t="s">
        <v>19</v>
      </c>
      <c r="E26" s="7">
        <v>1659</v>
      </c>
      <c r="F26" s="11" t="str">
        <f t="shared" si="3"/>
        <v>Long</v>
      </c>
      <c r="G26" s="7">
        <v>40</v>
      </c>
      <c r="H26" s="7">
        <v>48</v>
      </c>
      <c r="I26">
        <f t="shared" si="0"/>
        <v>48</v>
      </c>
      <c r="J26" s="7">
        <v>4</v>
      </c>
      <c r="K26" s="7">
        <v>2</v>
      </c>
      <c r="L26" s="7">
        <v>3</v>
      </c>
      <c r="M26" s="10">
        <f t="shared" si="1"/>
        <v>3</v>
      </c>
      <c r="N26" s="11" t="str">
        <f t="shared" si="2"/>
        <v>Average</v>
      </c>
      <c r="O26" s="8" t="s">
        <v>16</v>
      </c>
    </row>
    <row r="27" spans="1:15" x14ac:dyDescent="0.3">
      <c r="A27" s="7">
        <v>70227</v>
      </c>
      <c r="B27" s="8" t="s">
        <v>17</v>
      </c>
      <c r="C27" s="8" t="s">
        <v>12</v>
      </c>
      <c r="D27" s="8" t="s">
        <v>13</v>
      </c>
      <c r="E27" s="7">
        <v>2668</v>
      </c>
      <c r="F27" s="11" t="str">
        <f t="shared" si="3"/>
        <v>Long</v>
      </c>
      <c r="G27" s="7">
        <v>90</v>
      </c>
      <c r="H27" s="7">
        <v>94</v>
      </c>
      <c r="I27">
        <f t="shared" si="0"/>
        <v>94</v>
      </c>
      <c r="J27" s="7">
        <v>5</v>
      </c>
      <c r="K27" s="7">
        <v>1</v>
      </c>
      <c r="L27" s="7">
        <v>2</v>
      </c>
      <c r="M27" s="10">
        <f t="shared" si="1"/>
        <v>2.6666666666666665</v>
      </c>
      <c r="N27" s="11" t="str">
        <f t="shared" si="2"/>
        <v>Average</v>
      </c>
      <c r="O27" s="8" t="s">
        <v>14</v>
      </c>
    </row>
    <row r="28" spans="1:15" x14ac:dyDescent="0.3">
      <c r="A28" s="7">
        <v>70092</v>
      </c>
      <c r="B28" s="8" t="s">
        <v>17</v>
      </c>
      <c r="C28" s="8" t="s">
        <v>12</v>
      </c>
      <c r="D28" s="8" t="s">
        <v>15</v>
      </c>
      <c r="E28" s="7">
        <v>3211</v>
      </c>
      <c r="F28" s="11" t="str">
        <f t="shared" si="3"/>
        <v>Long</v>
      </c>
      <c r="G28" s="7">
        <v>0</v>
      </c>
      <c r="H28" s="7">
        <v>0</v>
      </c>
      <c r="I28">
        <f t="shared" si="0"/>
        <v>0</v>
      </c>
      <c r="J28" s="7">
        <v>4</v>
      </c>
      <c r="K28" s="7">
        <v>1</v>
      </c>
      <c r="L28" s="7">
        <v>2</v>
      </c>
      <c r="M28" s="10">
        <f t="shared" si="1"/>
        <v>2.3333333333333335</v>
      </c>
      <c r="N28" s="11" t="str">
        <f t="shared" si="2"/>
        <v>Poor</v>
      </c>
      <c r="O28" s="8" t="s">
        <v>16</v>
      </c>
    </row>
    <row r="29" spans="1:15" x14ac:dyDescent="0.3">
      <c r="A29" s="7">
        <v>70042</v>
      </c>
      <c r="B29" s="8" t="s">
        <v>11</v>
      </c>
      <c r="C29" s="8" t="s">
        <v>18</v>
      </c>
      <c r="D29" s="8" t="s">
        <v>19</v>
      </c>
      <c r="E29" s="7">
        <v>491</v>
      </c>
      <c r="F29" s="11" t="str">
        <f t="shared" si="3"/>
        <v>Short</v>
      </c>
      <c r="G29" s="7">
        <v>0</v>
      </c>
      <c r="H29" s="7">
        <v>10</v>
      </c>
      <c r="I29">
        <f t="shared" si="0"/>
        <v>10</v>
      </c>
      <c r="J29" s="7">
        <v>1</v>
      </c>
      <c r="K29" s="7">
        <v>2</v>
      </c>
      <c r="L29" s="7">
        <v>1</v>
      </c>
      <c r="M29" s="10">
        <f t="shared" si="1"/>
        <v>1.3333333333333333</v>
      </c>
      <c r="N29" s="11" t="str">
        <f t="shared" si="2"/>
        <v>Poor</v>
      </c>
      <c r="O29" s="8" t="s">
        <v>14</v>
      </c>
    </row>
    <row r="30" spans="1:15" x14ac:dyDescent="0.3">
      <c r="A30" s="7">
        <v>70166</v>
      </c>
      <c r="B30" s="8" t="s">
        <v>11</v>
      </c>
      <c r="C30" s="8" t="s">
        <v>12</v>
      </c>
      <c r="D30" s="8" t="s">
        <v>13</v>
      </c>
      <c r="E30" s="7">
        <v>1368</v>
      </c>
      <c r="F30" s="11" t="str">
        <f t="shared" si="3"/>
        <v>Medium</v>
      </c>
      <c r="G30" s="7">
        <v>0</v>
      </c>
      <c r="H30" s="7">
        <v>8</v>
      </c>
      <c r="I30">
        <f t="shared" si="0"/>
        <v>8</v>
      </c>
      <c r="J30" s="7">
        <v>2</v>
      </c>
      <c r="K30" s="7">
        <v>3</v>
      </c>
      <c r="L30" s="7">
        <v>1</v>
      </c>
      <c r="M30" s="10">
        <f t="shared" si="1"/>
        <v>2</v>
      </c>
      <c r="N30" s="11" t="str">
        <f t="shared" si="2"/>
        <v>Poor</v>
      </c>
      <c r="O30" s="8" t="s">
        <v>14</v>
      </c>
    </row>
    <row r="31" spans="1:15" x14ac:dyDescent="0.3">
      <c r="A31" s="7">
        <v>70068</v>
      </c>
      <c r="B31" s="8" t="s">
        <v>17</v>
      </c>
      <c r="C31" s="8" t="s">
        <v>12</v>
      </c>
      <c r="D31" s="8" t="s">
        <v>19</v>
      </c>
      <c r="E31" s="7">
        <v>523</v>
      </c>
      <c r="F31" s="11" t="str">
        <f t="shared" si="3"/>
        <v>Medium</v>
      </c>
      <c r="G31" s="7">
        <v>40</v>
      </c>
      <c r="H31" s="7">
        <v>41</v>
      </c>
      <c r="I31">
        <f t="shared" si="0"/>
        <v>41</v>
      </c>
      <c r="J31" s="7">
        <v>1</v>
      </c>
      <c r="K31" s="7">
        <v>3</v>
      </c>
      <c r="L31" s="7">
        <v>3</v>
      </c>
      <c r="M31" s="10">
        <f t="shared" si="1"/>
        <v>2.3333333333333335</v>
      </c>
      <c r="N31" s="11" t="str">
        <f t="shared" si="2"/>
        <v>Poor</v>
      </c>
      <c r="O31" s="8" t="s">
        <v>14</v>
      </c>
    </row>
    <row r="32" spans="1:15" x14ac:dyDescent="0.3">
      <c r="A32" s="7">
        <v>70244</v>
      </c>
      <c r="B32" s="8" t="s">
        <v>11</v>
      </c>
      <c r="C32" s="8" t="s">
        <v>18</v>
      </c>
      <c r="D32" s="8" t="s">
        <v>13</v>
      </c>
      <c r="E32" s="7">
        <v>2343</v>
      </c>
      <c r="F32" s="11" t="str">
        <f t="shared" si="3"/>
        <v>Long</v>
      </c>
      <c r="G32" s="7">
        <v>0</v>
      </c>
      <c r="H32" s="7">
        <v>0</v>
      </c>
      <c r="I32">
        <f t="shared" si="0"/>
        <v>0</v>
      </c>
      <c r="J32" s="7">
        <v>3</v>
      </c>
      <c r="K32" s="7">
        <v>1</v>
      </c>
      <c r="L32" s="7">
        <v>5</v>
      </c>
      <c r="M32" s="10">
        <f t="shared" si="1"/>
        <v>3</v>
      </c>
      <c r="N32" s="11" t="str">
        <f t="shared" si="2"/>
        <v>Average</v>
      </c>
      <c r="O32" s="8" t="s">
        <v>14</v>
      </c>
    </row>
    <row r="33" spans="1:15" x14ac:dyDescent="0.3">
      <c r="A33" s="7">
        <v>70131</v>
      </c>
      <c r="B33" s="8" t="s">
        <v>11</v>
      </c>
      <c r="C33" s="8" t="s">
        <v>12</v>
      </c>
      <c r="D33" s="8" t="s">
        <v>15</v>
      </c>
      <c r="E33" s="7">
        <v>3133</v>
      </c>
      <c r="F33" s="11" t="str">
        <f t="shared" si="3"/>
        <v>Long</v>
      </c>
      <c r="G33" s="7">
        <v>90</v>
      </c>
      <c r="H33" s="7">
        <v>89</v>
      </c>
      <c r="I33">
        <f t="shared" si="0"/>
        <v>89</v>
      </c>
      <c r="J33" s="7">
        <v>4</v>
      </c>
      <c r="K33" s="7">
        <v>4</v>
      </c>
      <c r="L33" s="7">
        <v>3</v>
      </c>
      <c r="M33" s="10">
        <f t="shared" si="1"/>
        <v>3.6666666666666665</v>
      </c>
      <c r="N33" s="11" t="str">
        <f t="shared" si="2"/>
        <v>Good</v>
      </c>
      <c r="O33" s="8" t="s">
        <v>16</v>
      </c>
    </row>
    <row r="34" spans="1:15" x14ac:dyDescent="0.3">
      <c r="A34" s="7">
        <v>70031</v>
      </c>
      <c r="B34" s="8" t="s">
        <v>11</v>
      </c>
      <c r="C34" s="8" t="s">
        <v>18</v>
      </c>
      <c r="D34" s="8" t="s">
        <v>13</v>
      </c>
      <c r="E34" s="7">
        <v>780</v>
      </c>
      <c r="F34" s="11" t="str">
        <f t="shared" si="3"/>
        <v>Medium</v>
      </c>
      <c r="G34" s="7">
        <v>0</v>
      </c>
      <c r="H34" s="7">
        <v>0</v>
      </c>
      <c r="I34">
        <f t="shared" si="0"/>
        <v>0</v>
      </c>
      <c r="J34" s="7">
        <v>5</v>
      </c>
      <c r="K34" s="7">
        <v>1</v>
      </c>
      <c r="L34" s="7">
        <v>1</v>
      </c>
      <c r="M34" s="10">
        <f t="shared" si="1"/>
        <v>2.3333333333333335</v>
      </c>
      <c r="N34" s="11" t="str">
        <f t="shared" si="2"/>
        <v>Poor</v>
      </c>
      <c r="O34" s="8" t="s">
        <v>16</v>
      </c>
    </row>
    <row r="35" spans="1:15" x14ac:dyDescent="0.3">
      <c r="A35" s="7">
        <v>70063</v>
      </c>
      <c r="B35" s="8" t="s">
        <v>11</v>
      </c>
      <c r="C35" s="8" t="s">
        <v>12</v>
      </c>
      <c r="D35" s="8" t="s">
        <v>15</v>
      </c>
      <c r="E35" s="7">
        <v>671</v>
      </c>
      <c r="F35" s="11" t="str">
        <f t="shared" si="3"/>
        <v>Medium</v>
      </c>
      <c r="G35" s="7">
        <v>90</v>
      </c>
      <c r="H35" s="7">
        <v>100</v>
      </c>
      <c r="I35">
        <f t="shared" si="0"/>
        <v>100</v>
      </c>
      <c r="J35" s="7">
        <v>1</v>
      </c>
      <c r="K35" s="7">
        <v>4</v>
      </c>
      <c r="L35" s="7">
        <v>3</v>
      </c>
      <c r="M35" s="10">
        <f t="shared" si="1"/>
        <v>2.6666666666666665</v>
      </c>
      <c r="N35" s="11" t="str">
        <f t="shared" si="2"/>
        <v>Average</v>
      </c>
      <c r="O35" s="8" t="s">
        <v>16</v>
      </c>
    </row>
    <row r="36" spans="1:15" x14ac:dyDescent="0.3">
      <c r="A36" s="7">
        <v>70243</v>
      </c>
      <c r="B36" s="8" t="s">
        <v>17</v>
      </c>
      <c r="C36" s="8" t="s">
        <v>18</v>
      </c>
      <c r="D36" s="8" t="s">
        <v>13</v>
      </c>
      <c r="E36" s="7">
        <v>3002</v>
      </c>
      <c r="F36" s="11" t="str">
        <f t="shared" si="3"/>
        <v>Long</v>
      </c>
      <c r="G36" s="7">
        <v>40</v>
      </c>
      <c r="H36" s="7">
        <v>42</v>
      </c>
      <c r="I36">
        <f t="shared" si="0"/>
        <v>42</v>
      </c>
      <c r="J36" s="7">
        <v>2</v>
      </c>
      <c r="K36" s="7">
        <v>4</v>
      </c>
      <c r="L36" s="7">
        <v>1</v>
      </c>
      <c r="M36" s="10">
        <f t="shared" si="1"/>
        <v>2.3333333333333335</v>
      </c>
      <c r="N36" s="11" t="str">
        <f t="shared" si="2"/>
        <v>Poor</v>
      </c>
      <c r="O36" s="8" t="s">
        <v>14</v>
      </c>
    </row>
    <row r="37" spans="1:15" x14ac:dyDescent="0.3">
      <c r="A37" s="7">
        <v>70130</v>
      </c>
      <c r="B37" s="8" t="s">
        <v>17</v>
      </c>
      <c r="C37" s="8" t="s">
        <v>18</v>
      </c>
      <c r="D37" s="8" t="s">
        <v>15</v>
      </c>
      <c r="E37" s="7">
        <v>2573</v>
      </c>
      <c r="F37" s="11" t="str">
        <f t="shared" si="3"/>
        <v>Long</v>
      </c>
      <c r="G37" s="7">
        <v>40</v>
      </c>
      <c r="H37" s="7">
        <v>42</v>
      </c>
      <c r="I37">
        <f t="shared" si="0"/>
        <v>42</v>
      </c>
      <c r="J37" s="7">
        <v>5</v>
      </c>
      <c r="K37" s="7">
        <v>3</v>
      </c>
      <c r="L37" s="7">
        <v>3</v>
      </c>
      <c r="M37" s="10">
        <f t="shared" si="1"/>
        <v>3.6666666666666665</v>
      </c>
      <c r="N37" s="11" t="str">
        <f t="shared" si="2"/>
        <v>Good</v>
      </c>
      <c r="O37" s="8" t="s">
        <v>16</v>
      </c>
    </row>
    <row r="38" spans="1:15" x14ac:dyDescent="0.3">
      <c r="A38" s="7">
        <v>70070</v>
      </c>
      <c r="B38" s="8" t="s">
        <v>17</v>
      </c>
      <c r="C38" s="8" t="s">
        <v>12</v>
      </c>
      <c r="D38" s="8" t="s">
        <v>13</v>
      </c>
      <c r="E38" s="7">
        <v>951</v>
      </c>
      <c r="F38" s="11" t="str">
        <f t="shared" si="3"/>
        <v>Medium</v>
      </c>
      <c r="G38" s="7">
        <v>0</v>
      </c>
      <c r="H38" s="7">
        <v>1</v>
      </c>
      <c r="I38">
        <f t="shared" si="0"/>
        <v>1</v>
      </c>
      <c r="J38" s="7">
        <v>4</v>
      </c>
      <c r="K38" s="7">
        <v>2</v>
      </c>
      <c r="L38" s="7">
        <v>2</v>
      </c>
      <c r="M38" s="10">
        <f t="shared" si="1"/>
        <v>2.6666666666666665</v>
      </c>
      <c r="N38" s="11" t="str">
        <f t="shared" si="2"/>
        <v>Average</v>
      </c>
      <c r="O38" s="8" t="s">
        <v>16</v>
      </c>
    </row>
    <row r="39" spans="1:15" x14ac:dyDescent="0.3">
      <c r="A39" s="7">
        <v>70218</v>
      </c>
      <c r="B39" s="8" t="s">
        <v>17</v>
      </c>
      <c r="C39" s="8" t="s">
        <v>12</v>
      </c>
      <c r="D39" s="8" t="s">
        <v>19</v>
      </c>
      <c r="E39" s="7">
        <v>1196</v>
      </c>
      <c r="F39" s="11" t="str">
        <f t="shared" si="3"/>
        <v>Medium</v>
      </c>
      <c r="G39" s="7">
        <v>0</v>
      </c>
      <c r="H39" s="7">
        <v>0</v>
      </c>
      <c r="I39">
        <f t="shared" si="0"/>
        <v>0</v>
      </c>
      <c r="J39" s="7">
        <v>3</v>
      </c>
      <c r="K39" s="7">
        <v>5</v>
      </c>
      <c r="L39" s="7">
        <v>1</v>
      </c>
      <c r="M39" s="10">
        <f t="shared" si="1"/>
        <v>3</v>
      </c>
      <c r="N39" s="11" t="str">
        <f t="shared" si="2"/>
        <v>Average</v>
      </c>
      <c r="O39" s="8" t="s">
        <v>16</v>
      </c>
    </row>
    <row r="40" spans="1:15" x14ac:dyDescent="0.3">
      <c r="A40" s="7">
        <v>70025</v>
      </c>
      <c r="B40" s="8" t="s">
        <v>11</v>
      </c>
      <c r="C40" s="8" t="s">
        <v>18</v>
      </c>
      <c r="D40" s="8" t="s">
        <v>13</v>
      </c>
      <c r="E40" s="7">
        <v>205</v>
      </c>
      <c r="F40" s="11" t="str">
        <f t="shared" si="3"/>
        <v>Short</v>
      </c>
      <c r="G40" s="7">
        <v>40</v>
      </c>
      <c r="H40" s="7">
        <v>44</v>
      </c>
      <c r="I40">
        <f t="shared" si="0"/>
        <v>44</v>
      </c>
      <c r="J40" s="7">
        <v>3</v>
      </c>
      <c r="K40" s="7">
        <v>4</v>
      </c>
      <c r="L40" s="7">
        <v>2</v>
      </c>
      <c r="M40" s="10">
        <f t="shared" si="1"/>
        <v>3</v>
      </c>
      <c r="N40" s="11" t="str">
        <f t="shared" si="2"/>
        <v>Average</v>
      </c>
      <c r="O40" s="8" t="s">
        <v>14</v>
      </c>
    </row>
    <row r="41" spans="1:15" x14ac:dyDescent="0.3">
      <c r="A41" s="7">
        <v>70080</v>
      </c>
      <c r="B41" s="8" t="s">
        <v>17</v>
      </c>
      <c r="C41" s="8" t="s">
        <v>12</v>
      </c>
      <c r="D41" s="8" t="s">
        <v>19</v>
      </c>
      <c r="E41" s="7">
        <v>3275</v>
      </c>
      <c r="F41" s="11" t="str">
        <f t="shared" si="3"/>
        <v>Long</v>
      </c>
      <c r="G41" s="7">
        <v>15</v>
      </c>
      <c r="H41" s="7">
        <v>20</v>
      </c>
      <c r="I41">
        <f t="shared" si="0"/>
        <v>20</v>
      </c>
      <c r="J41" s="7">
        <v>2</v>
      </c>
      <c r="K41" s="7">
        <v>1</v>
      </c>
      <c r="L41" s="7">
        <v>2</v>
      </c>
      <c r="M41" s="10">
        <f t="shared" si="1"/>
        <v>1.6666666666666667</v>
      </c>
      <c r="N41" s="11" t="str">
        <f t="shared" si="2"/>
        <v>Poor</v>
      </c>
      <c r="O41" s="8" t="s">
        <v>16</v>
      </c>
    </row>
    <row r="42" spans="1:15" x14ac:dyDescent="0.3">
      <c r="A42" s="7">
        <v>70157</v>
      </c>
      <c r="B42" s="8" t="s">
        <v>17</v>
      </c>
      <c r="C42" s="8" t="s">
        <v>12</v>
      </c>
      <c r="D42" s="8" t="s">
        <v>15</v>
      </c>
      <c r="E42" s="7">
        <v>2395</v>
      </c>
      <c r="F42" s="11" t="str">
        <f t="shared" si="3"/>
        <v>Long</v>
      </c>
      <c r="G42" s="7">
        <v>15</v>
      </c>
      <c r="H42" s="7">
        <v>17</v>
      </c>
      <c r="I42">
        <f t="shared" si="0"/>
        <v>17</v>
      </c>
      <c r="J42" s="7">
        <v>5</v>
      </c>
      <c r="K42" s="7">
        <v>3</v>
      </c>
      <c r="L42" s="7">
        <v>5</v>
      </c>
      <c r="M42" s="10">
        <f t="shared" si="1"/>
        <v>4.333333333333333</v>
      </c>
      <c r="N42" s="11" t="str">
        <f t="shared" si="2"/>
        <v>Good</v>
      </c>
      <c r="O42" s="8" t="s">
        <v>16</v>
      </c>
    </row>
    <row r="43" spans="1:15" x14ac:dyDescent="0.3">
      <c r="A43" s="7">
        <v>70200</v>
      </c>
      <c r="B43" s="8" t="s">
        <v>17</v>
      </c>
      <c r="C43" s="8" t="s">
        <v>12</v>
      </c>
      <c r="D43" s="8" t="s">
        <v>15</v>
      </c>
      <c r="E43" s="7">
        <v>2555</v>
      </c>
      <c r="F43" s="11" t="str">
        <f t="shared" si="3"/>
        <v>Long</v>
      </c>
      <c r="G43" s="7">
        <v>0</v>
      </c>
      <c r="H43" s="7">
        <v>0</v>
      </c>
      <c r="I43">
        <f t="shared" si="0"/>
        <v>0</v>
      </c>
      <c r="J43" s="7">
        <v>4</v>
      </c>
      <c r="K43" s="7">
        <v>4</v>
      </c>
      <c r="L43" s="7">
        <v>4</v>
      </c>
      <c r="M43" s="10">
        <f t="shared" si="1"/>
        <v>4</v>
      </c>
      <c r="N43" s="11" t="str">
        <f t="shared" si="2"/>
        <v>Good</v>
      </c>
      <c r="O43" s="8" t="s">
        <v>14</v>
      </c>
    </row>
    <row r="44" spans="1:15" x14ac:dyDescent="0.3">
      <c r="A44" s="7">
        <v>70120</v>
      </c>
      <c r="B44" s="8" t="s">
        <v>11</v>
      </c>
      <c r="C44" s="8" t="s">
        <v>18</v>
      </c>
      <c r="D44" s="8" t="s">
        <v>13</v>
      </c>
      <c r="E44" s="7">
        <v>1537</v>
      </c>
      <c r="F44" s="11" t="str">
        <f t="shared" si="3"/>
        <v>Long</v>
      </c>
      <c r="G44" s="7">
        <v>90</v>
      </c>
      <c r="H44" s="7">
        <v>90</v>
      </c>
      <c r="I44">
        <f t="shared" si="0"/>
        <v>90</v>
      </c>
      <c r="J44" s="7">
        <v>3</v>
      </c>
      <c r="K44" s="7">
        <v>2</v>
      </c>
      <c r="L44" s="7">
        <v>5</v>
      </c>
      <c r="M44" s="10">
        <f t="shared" si="1"/>
        <v>3.3333333333333335</v>
      </c>
      <c r="N44" s="11" t="str">
        <f t="shared" si="2"/>
        <v>Average</v>
      </c>
      <c r="O44" s="8" t="s">
        <v>16</v>
      </c>
    </row>
    <row r="45" spans="1:15" x14ac:dyDescent="0.3">
      <c r="A45" s="7">
        <v>70155</v>
      </c>
      <c r="B45" s="8" t="s">
        <v>17</v>
      </c>
      <c r="C45" s="8" t="s">
        <v>18</v>
      </c>
      <c r="D45" s="8" t="s">
        <v>13</v>
      </c>
      <c r="E45" s="7">
        <v>1093</v>
      </c>
      <c r="F45" s="11" t="str">
        <f t="shared" si="3"/>
        <v>Medium</v>
      </c>
      <c r="G45" s="7">
        <v>90</v>
      </c>
      <c r="H45" s="7">
        <v>88</v>
      </c>
      <c r="I45">
        <f t="shared" si="0"/>
        <v>88</v>
      </c>
      <c r="J45" s="7">
        <v>2</v>
      </c>
      <c r="K45" s="7">
        <v>5</v>
      </c>
      <c r="L45" s="7">
        <v>1</v>
      </c>
      <c r="M45" s="10">
        <f t="shared" si="1"/>
        <v>2.6666666666666665</v>
      </c>
      <c r="N45" s="11" t="str">
        <f t="shared" si="2"/>
        <v>Average</v>
      </c>
      <c r="O45" s="8" t="s">
        <v>16</v>
      </c>
    </row>
    <row r="46" spans="1:15" x14ac:dyDescent="0.3">
      <c r="A46" s="7">
        <v>70210</v>
      </c>
      <c r="B46" s="8" t="s">
        <v>11</v>
      </c>
      <c r="C46" s="8" t="s">
        <v>18</v>
      </c>
      <c r="D46" s="8" t="s">
        <v>13</v>
      </c>
      <c r="E46" s="7">
        <v>2456</v>
      </c>
      <c r="F46" s="11" t="str">
        <f t="shared" si="3"/>
        <v>Long</v>
      </c>
      <c r="G46" s="7">
        <v>5</v>
      </c>
      <c r="H46" s="7">
        <v>2</v>
      </c>
      <c r="I46">
        <f t="shared" si="0"/>
        <v>2</v>
      </c>
      <c r="J46" s="7">
        <v>1</v>
      </c>
      <c r="K46" s="7">
        <v>5</v>
      </c>
      <c r="L46" s="7">
        <v>4</v>
      </c>
      <c r="M46" s="10">
        <f t="shared" si="1"/>
        <v>3.3333333333333335</v>
      </c>
      <c r="N46" s="11" t="str">
        <f t="shared" si="2"/>
        <v>Average</v>
      </c>
      <c r="O46" s="8" t="s">
        <v>16</v>
      </c>
    </row>
    <row r="47" spans="1:15" x14ac:dyDescent="0.3">
      <c r="A47" s="7">
        <v>70146</v>
      </c>
      <c r="B47" s="8" t="s">
        <v>11</v>
      </c>
      <c r="C47" s="8" t="s">
        <v>12</v>
      </c>
      <c r="D47" s="8" t="s">
        <v>19</v>
      </c>
      <c r="E47" s="7">
        <v>1995</v>
      </c>
      <c r="F47" s="11" t="str">
        <f t="shared" si="3"/>
        <v>Long</v>
      </c>
      <c r="G47" s="7">
        <v>5</v>
      </c>
      <c r="H47" s="7">
        <v>9</v>
      </c>
      <c r="I47">
        <f t="shared" si="0"/>
        <v>9</v>
      </c>
      <c r="J47" s="7">
        <v>4</v>
      </c>
      <c r="K47" s="7">
        <v>4</v>
      </c>
      <c r="L47" s="7">
        <v>5</v>
      </c>
      <c r="M47" s="10">
        <f t="shared" si="1"/>
        <v>4.333333333333333</v>
      </c>
      <c r="N47" s="11" t="str">
        <f t="shared" si="2"/>
        <v>Good</v>
      </c>
      <c r="O47" s="8" t="s">
        <v>16</v>
      </c>
    </row>
    <row r="48" spans="1:15" x14ac:dyDescent="0.3">
      <c r="A48" s="7">
        <v>70071</v>
      </c>
      <c r="B48" s="8" t="s">
        <v>17</v>
      </c>
      <c r="C48" s="8" t="s">
        <v>18</v>
      </c>
      <c r="D48" s="8" t="s">
        <v>13</v>
      </c>
      <c r="E48" s="7">
        <v>950</v>
      </c>
      <c r="F48" s="11" t="str">
        <f t="shared" si="3"/>
        <v>Medium</v>
      </c>
      <c r="G48" s="7">
        <v>15</v>
      </c>
      <c r="H48" s="7">
        <v>18</v>
      </c>
      <c r="I48">
        <f t="shared" si="0"/>
        <v>18</v>
      </c>
      <c r="J48" s="7">
        <v>4</v>
      </c>
      <c r="K48" s="7">
        <v>2</v>
      </c>
      <c r="L48" s="7">
        <v>1</v>
      </c>
      <c r="M48" s="10">
        <f t="shared" si="1"/>
        <v>2.3333333333333335</v>
      </c>
      <c r="N48" s="11" t="str">
        <f t="shared" si="2"/>
        <v>Poor</v>
      </c>
      <c r="O48" s="8" t="s">
        <v>16</v>
      </c>
    </row>
    <row r="49" spans="1:15" x14ac:dyDescent="0.3">
      <c r="A49" s="7">
        <v>70126</v>
      </c>
      <c r="B49" s="8" t="s">
        <v>11</v>
      </c>
      <c r="C49" s="8" t="s">
        <v>18</v>
      </c>
      <c r="D49" s="8" t="s">
        <v>13</v>
      </c>
      <c r="E49" s="7">
        <v>606</v>
      </c>
      <c r="F49" s="11" t="str">
        <f t="shared" si="3"/>
        <v>Medium</v>
      </c>
      <c r="G49" s="7">
        <v>90</v>
      </c>
      <c r="H49" s="7">
        <v>92</v>
      </c>
      <c r="I49">
        <f t="shared" si="0"/>
        <v>92</v>
      </c>
      <c r="J49" s="7">
        <v>3</v>
      </c>
      <c r="K49" s="7">
        <v>2</v>
      </c>
      <c r="L49" s="7">
        <v>4</v>
      </c>
      <c r="M49" s="10">
        <f t="shared" si="1"/>
        <v>3</v>
      </c>
      <c r="N49" s="11" t="str">
        <f t="shared" si="2"/>
        <v>Average</v>
      </c>
      <c r="O49" s="8" t="s">
        <v>14</v>
      </c>
    </row>
    <row r="50" spans="1:15" x14ac:dyDescent="0.3">
      <c r="A50" s="7">
        <v>70147</v>
      </c>
      <c r="B50" s="8" t="s">
        <v>11</v>
      </c>
      <c r="C50" s="8" t="s">
        <v>12</v>
      </c>
      <c r="D50" s="8" t="s">
        <v>13</v>
      </c>
      <c r="E50" s="7">
        <v>2374</v>
      </c>
      <c r="F50" s="11" t="str">
        <f t="shared" si="3"/>
        <v>Long</v>
      </c>
      <c r="G50" s="7">
        <v>0</v>
      </c>
      <c r="H50" s="7">
        <v>10</v>
      </c>
      <c r="I50">
        <f t="shared" si="0"/>
        <v>10</v>
      </c>
      <c r="J50" s="7">
        <v>2</v>
      </c>
      <c r="K50" s="7">
        <v>4</v>
      </c>
      <c r="L50" s="7">
        <v>1</v>
      </c>
      <c r="M50" s="10">
        <f t="shared" si="1"/>
        <v>2.3333333333333335</v>
      </c>
      <c r="N50" s="11" t="str">
        <f t="shared" si="2"/>
        <v>Poor</v>
      </c>
      <c r="O50" s="8" t="s">
        <v>14</v>
      </c>
    </row>
    <row r="51" spans="1:15" x14ac:dyDescent="0.3">
      <c r="A51" s="7">
        <v>70169</v>
      </c>
      <c r="B51" s="8" t="s">
        <v>17</v>
      </c>
      <c r="C51" s="8" t="s">
        <v>12</v>
      </c>
      <c r="D51" s="8" t="s">
        <v>19</v>
      </c>
      <c r="E51" s="7">
        <v>2013</v>
      </c>
      <c r="F51" s="11" t="str">
        <f t="shared" si="3"/>
        <v>Long</v>
      </c>
      <c r="G51" s="7">
        <v>90</v>
      </c>
      <c r="H51" s="7">
        <v>97</v>
      </c>
      <c r="I51">
        <f t="shared" si="0"/>
        <v>97</v>
      </c>
      <c r="J51" s="7">
        <v>2</v>
      </c>
      <c r="K51" s="7">
        <v>5</v>
      </c>
      <c r="L51" s="7">
        <v>4</v>
      </c>
      <c r="M51" s="10">
        <f t="shared" si="1"/>
        <v>3.6666666666666665</v>
      </c>
      <c r="N51" s="11" t="str">
        <f t="shared" si="2"/>
        <v>Good</v>
      </c>
      <c r="O51" s="8" t="s">
        <v>14</v>
      </c>
    </row>
    <row r="52" spans="1:15" x14ac:dyDescent="0.3">
      <c r="A52" s="7">
        <v>70132</v>
      </c>
      <c r="B52" s="8" t="s">
        <v>17</v>
      </c>
      <c r="C52" s="8" t="s">
        <v>12</v>
      </c>
      <c r="D52" s="8" t="s">
        <v>15</v>
      </c>
      <c r="E52" s="7">
        <v>2554</v>
      </c>
      <c r="F52" s="11" t="str">
        <f t="shared" si="3"/>
        <v>Long</v>
      </c>
      <c r="G52" s="7">
        <v>0</v>
      </c>
      <c r="H52" s="7">
        <v>0</v>
      </c>
      <c r="I52">
        <f t="shared" si="0"/>
        <v>0</v>
      </c>
      <c r="J52" s="7">
        <v>2</v>
      </c>
      <c r="K52" s="7">
        <v>3</v>
      </c>
      <c r="L52" s="7">
        <v>4</v>
      </c>
      <c r="M52" s="10">
        <f t="shared" si="1"/>
        <v>3</v>
      </c>
      <c r="N52" s="11" t="str">
        <f t="shared" si="2"/>
        <v>Average</v>
      </c>
      <c r="O52" s="8" t="s">
        <v>16</v>
      </c>
    </row>
    <row r="53" spans="1:15" x14ac:dyDescent="0.3">
      <c r="A53" s="7">
        <v>70005</v>
      </c>
      <c r="B53" s="8" t="s">
        <v>17</v>
      </c>
      <c r="C53" s="8" t="s">
        <v>12</v>
      </c>
      <c r="D53" s="8" t="s">
        <v>19</v>
      </c>
      <c r="E53" s="7">
        <v>1783</v>
      </c>
      <c r="F53" s="11" t="str">
        <f t="shared" si="3"/>
        <v>Long</v>
      </c>
      <c r="G53" s="7">
        <v>5</v>
      </c>
      <c r="H53" s="7">
        <v>12</v>
      </c>
      <c r="I53">
        <f t="shared" si="0"/>
        <v>12</v>
      </c>
      <c r="J53" s="7">
        <v>1</v>
      </c>
      <c r="K53" s="7">
        <v>4</v>
      </c>
      <c r="L53" s="7">
        <v>2</v>
      </c>
      <c r="M53" s="10">
        <f t="shared" si="1"/>
        <v>2.3333333333333335</v>
      </c>
      <c r="N53" s="11" t="str">
        <f t="shared" si="2"/>
        <v>Poor</v>
      </c>
      <c r="O53" s="8" t="s">
        <v>14</v>
      </c>
    </row>
    <row r="54" spans="1:15" x14ac:dyDescent="0.3">
      <c r="A54" s="7">
        <v>70054</v>
      </c>
      <c r="B54" s="8" t="s">
        <v>17</v>
      </c>
      <c r="C54" s="8" t="s">
        <v>12</v>
      </c>
      <c r="D54" s="8" t="s">
        <v>15</v>
      </c>
      <c r="E54" s="7">
        <v>523</v>
      </c>
      <c r="F54" s="11" t="str">
        <f t="shared" si="3"/>
        <v>Medium</v>
      </c>
      <c r="G54" s="7">
        <v>15</v>
      </c>
      <c r="H54" s="7">
        <v>13</v>
      </c>
      <c r="I54">
        <f t="shared" si="0"/>
        <v>13</v>
      </c>
      <c r="J54" s="7">
        <v>5</v>
      </c>
      <c r="K54" s="7">
        <v>3</v>
      </c>
      <c r="L54" s="7">
        <v>2</v>
      </c>
      <c r="M54" s="10">
        <f t="shared" si="1"/>
        <v>3.3333333333333335</v>
      </c>
      <c r="N54" s="11" t="str">
        <f t="shared" si="2"/>
        <v>Average</v>
      </c>
      <c r="O54" s="8" t="s">
        <v>16</v>
      </c>
    </row>
    <row r="55" spans="1:15" x14ac:dyDescent="0.3">
      <c r="A55" s="7">
        <v>70087</v>
      </c>
      <c r="B55" s="8" t="s">
        <v>17</v>
      </c>
      <c r="C55" s="8" t="s">
        <v>18</v>
      </c>
      <c r="D55" s="8" t="s">
        <v>13</v>
      </c>
      <c r="E55" s="7">
        <v>1778</v>
      </c>
      <c r="F55" s="11" t="str">
        <f t="shared" si="3"/>
        <v>Long</v>
      </c>
      <c r="G55" s="7">
        <v>0</v>
      </c>
      <c r="H55" s="7">
        <v>7</v>
      </c>
      <c r="I55">
        <f t="shared" si="0"/>
        <v>7</v>
      </c>
      <c r="J55" s="7">
        <v>5</v>
      </c>
      <c r="K55" s="7">
        <v>3</v>
      </c>
      <c r="L55" s="7">
        <v>3</v>
      </c>
      <c r="M55" s="10">
        <f t="shared" si="1"/>
        <v>3.6666666666666665</v>
      </c>
      <c r="N55" s="11" t="str">
        <f t="shared" si="2"/>
        <v>Good</v>
      </c>
      <c r="O55" s="8" t="s">
        <v>16</v>
      </c>
    </row>
    <row r="56" spans="1:15" x14ac:dyDescent="0.3">
      <c r="A56" s="7">
        <v>70121</v>
      </c>
      <c r="B56" s="8" t="s">
        <v>11</v>
      </c>
      <c r="C56" s="8" t="s">
        <v>18</v>
      </c>
      <c r="D56" s="8" t="s">
        <v>13</v>
      </c>
      <c r="E56" s="7">
        <v>1911</v>
      </c>
      <c r="F56" s="11" t="str">
        <f t="shared" si="3"/>
        <v>Long</v>
      </c>
      <c r="G56" s="7">
        <v>40</v>
      </c>
      <c r="H56" s="7">
        <v>40</v>
      </c>
      <c r="I56">
        <f t="shared" si="0"/>
        <v>40</v>
      </c>
      <c r="J56" s="7">
        <v>5</v>
      </c>
      <c r="K56" s="7">
        <v>5</v>
      </c>
      <c r="L56" s="7">
        <v>1</v>
      </c>
      <c r="M56" s="10">
        <f t="shared" si="1"/>
        <v>3.6666666666666665</v>
      </c>
      <c r="N56" s="11" t="str">
        <f t="shared" si="2"/>
        <v>Good</v>
      </c>
      <c r="O56" s="8" t="s">
        <v>14</v>
      </c>
    </row>
    <row r="57" spans="1:15" x14ac:dyDescent="0.3">
      <c r="A57" s="7">
        <v>70205</v>
      </c>
      <c r="B57" s="8" t="s">
        <v>11</v>
      </c>
      <c r="C57" s="8" t="s">
        <v>12</v>
      </c>
      <c r="D57" s="8" t="s">
        <v>19</v>
      </c>
      <c r="E57" s="7">
        <v>1078</v>
      </c>
      <c r="F57" s="11" t="str">
        <f t="shared" si="3"/>
        <v>Medium</v>
      </c>
      <c r="G57" s="7">
        <v>0</v>
      </c>
      <c r="H57" s="7">
        <v>7</v>
      </c>
      <c r="I57">
        <f t="shared" si="0"/>
        <v>7</v>
      </c>
      <c r="J57" s="7">
        <v>3</v>
      </c>
      <c r="K57" s="7">
        <v>4</v>
      </c>
      <c r="L57" s="7">
        <v>4</v>
      </c>
      <c r="M57" s="10">
        <f t="shared" si="1"/>
        <v>3.6666666666666665</v>
      </c>
      <c r="N57" s="11" t="str">
        <f t="shared" si="2"/>
        <v>Good</v>
      </c>
      <c r="O57" s="8" t="s">
        <v>14</v>
      </c>
    </row>
    <row r="58" spans="1:15" x14ac:dyDescent="0.3">
      <c r="A58" s="7">
        <v>70228</v>
      </c>
      <c r="B58" s="8" t="s">
        <v>17</v>
      </c>
      <c r="C58" s="8" t="s">
        <v>12</v>
      </c>
      <c r="D58" s="8" t="s">
        <v>19</v>
      </c>
      <c r="E58" s="7">
        <v>658</v>
      </c>
      <c r="F58" s="11" t="str">
        <f t="shared" si="3"/>
        <v>Medium</v>
      </c>
      <c r="G58" s="7">
        <v>5</v>
      </c>
      <c r="H58" s="7">
        <v>22</v>
      </c>
      <c r="I58">
        <f t="shared" si="0"/>
        <v>22</v>
      </c>
      <c r="J58" s="7">
        <v>1</v>
      </c>
      <c r="K58" s="7">
        <v>2</v>
      </c>
      <c r="L58" s="7">
        <v>1</v>
      </c>
      <c r="M58" s="10">
        <f t="shared" si="1"/>
        <v>1.3333333333333333</v>
      </c>
      <c r="N58" s="11" t="str">
        <f t="shared" si="2"/>
        <v>Poor</v>
      </c>
      <c r="O58" s="8" t="s">
        <v>14</v>
      </c>
    </row>
    <row r="59" spans="1:15" x14ac:dyDescent="0.3">
      <c r="A59" s="7">
        <v>70048</v>
      </c>
      <c r="B59" s="8" t="s">
        <v>11</v>
      </c>
      <c r="C59" s="8" t="s">
        <v>12</v>
      </c>
      <c r="D59" s="8" t="s">
        <v>15</v>
      </c>
      <c r="E59" s="7">
        <v>387</v>
      </c>
      <c r="F59" s="11" t="str">
        <f t="shared" si="3"/>
        <v>Short</v>
      </c>
      <c r="G59" s="7">
        <v>0</v>
      </c>
      <c r="H59" s="7">
        <v>0</v>
      </c>
      <c r="I59">
        <f t="shared" si="0"/>
        <v>0</v>
      </c>
      <c r="J59" s="7">
        <v>1</v>
      </c>
      <c r="K59" s="7">
        <v>5</v>
      </c>
      <c r="L59" s="7">
        <v>1</v>
      </c>
      <c r="M59" s="10">
        <f t="shared" si="1"/>
        <v>2.3333333333333335</v>
      </c>
      <c r="N59" s="11" t="str">
        <f t="shared" si="2"/>
        <v>Poor</v>
      </c>
      <c r="O59" s="8" t="s">
        <v>16</v>
      </c>
    </row>
    <row r="60" spans="1:15" x14ac:dyDescent="0.3">
      <c r="A60" s="7">
        <v>70047</v>
      </c>
      <c r="B60" s="8" t="s">
        <v>17</v>
      </c>
      <c r="C60" s="8" t="s">
        <v>18</v>
      </c>
      <c r="D60" s="8" t="s">
        <v>13</v>
      </c>
      <c r="E60" s="7">
        <v>1464</v>
      </c>
      <c r="F60" s="11" t="str">
        <f t="shared" si="3"/>
        <v>Medium</v>
      </c>
      <c r="G60" s="7">
        <v>15</v>
      </c>
      <c r="H60" s="7">
        <v>16</v>
      </c>
      <c r="I60">
        <f t="shared" si="0"/>
        <v>16</v>
      </c>
      <c r="J60" s="7">
        <v>1</v>
      </c>
      <c r="K60" s="7">
        <v>5</v>
      </c>
      <c r="L60" s="7">
        <v>5</v>
      </c>
      <c r="M60" s="10">
        <f t="shared" si="1"/>
        <v>3.6666666666666665</v>
      </c>
      <c r="N60" s="11" t="str">
        <f t="shared" si="2"/>
        <v>Good</v>
      </c>
      <c r="O60" s="8" t="s">
        <v>14</v>
      </c>
    </row>
    <row r="61" spans="1:15" x14ac:dyDescent="0.3">
      <c r="A61" s="7">
        <v>70124</v>
      </c>
      <c r="B61" s="8" t="s">
        <v>11</v>
      </c>
      <c r="C61" s="8" t="s">
        <v>18</v>
      </c>
      <c r="D61" s="8" t="s">
        <v>15</v>
      </c>
      <c r="E61" s="7">
        <v>2785</v>
      </c>
      <c r="F61" s="11" t="str">
        <f t="shared" si="3"/>
        <v>Long</v>
      </c>
      <c r="G61" s="7">
        <v>90</v>
      </c>
      <c r="H61" s="7">
        <v>97</v>
      </c>
      <c r="I61">
        <f t="shared" si="0"/>
        <v>97</v>
      </c>
      <c r="J61" s="7">
        <v>2</v>
      </c>
      <c r="K61" s="7">
        <v>4</v>
      </c>
      <c r="L61" s="7">
        <v>4</v>
      </c>
      <c r="M61" s="10">
        <f t="shared" si="1"/>
        <v>3.3333333333333335</v>
      </c>
      <c r="N61" s="11" t="str">
        <f t="shared" si="2"/>
        <v>Average</v>
      </c>
      <c r="O61" s="8" t="s">
        <v>16</v>
      </c>
    </row>
    <row r="62" spans="1:15" x14ac:dyDescent="0.3">
      <c r="A62" s="7">
        <v>70150</v>
      </c>
      <c r="B62" s="8" t="s">
        <v>17</v>
      </c>
      <c r="C62" s="8" t="s">
        <v>12</v>
      </c>
      <c r="D62" s="8" t="s">
        <v>15</v>
      </c>
      <c r="E62" s="7">
        <v>1732</v>
      </c>
      <c r="F62" s="11" t="str">
        <f t="shared" si="3"/>
        <v>Long</v>
      </c>
      <c r="G62" s="7">
        <v>40</v>
      </c>
      <c r="H62" s="7">
        <v>40</v>
      </c>
      <c r="I62">
        <f t="shared" si="0"/>
        <v>40</v>
      </c>
      <c r="J62" s="7">
        <v>3</v>
      </c>
      <c r="K62" s="7">
        <v>1</v>
      </c>
      <c r="L62" s="7">
        <v>4</v>
      </c>
      <c r="M62" s="10">
        <f t="shared" si="1"/>
        <v>2.6666666666666665</v>
      </c>
      <c r="N62" s="11" t="str">
        <f t="shared" si="2"/>
        <v>Average</v>
      </c>
      <c r="O62" s="8" t="s">
        <v>14</v>
      </c>
    </row>
    <row r="63" spans="1:15" x14ac:dyDescent="0.3">
      <c r="A63" s="7">
        <v>70162</v>
      </c>
      <c r="B63" s="8" t="s">
        <v>17</v>
      </c>
      <c r="C63" s="8" t="s">
        <v>12</v>
      </c>
      <c r="D63" s="8" t="s">
        <v>19</v>
      </c>
      <c r="E63" s="7">
        <v>659</v>
      </c>
      <c r="F63" s="11" t="str">
        <f t="shared" si="3"/>
        <v>Medium</v>
      </c>
      <c r="G63" s="7">
        <v>90</v>
      </c>
      <c r="H63" s="7">
        <v>99</v>
      </c>
      <c r="I63">
        <f t="shared" si="0"/>
        <v>99</v>
      </c>
      <c r="J63" s="7">
        <v>1</v>
      </c>
      <c r="K63" s="7">
        <v>3</v>
      </c>
      <c r="L63" s="7">
        <v>5</v>
      </c>
      <c r="M63" s="10">
        <f t="shared" si="1"/>
        <v>3</v>
      </c>
      <c r="N63" s="11" t="str">
        <f t="shared" si="2"/>
        <v>Average</v>
      </c>
      <c r="O63" s="8" t="s">
        <v>14</v>
      </c>
    </row>
    <row r="64" spans="1:15" x14ac:dyDescent="0.3">
      <c r="A64" s="7">
        <v>70164</v>
      </c>
      <c r="B64" s="8" t="s">
        <v>11</v>
      </c>
      <c r="C64" s="8" t="s">
        <v>18</v>
      </c>
      <c r="D64" s="8" t="s">
        <v>15</v>
      </c>
      <c r="E64" s="7">
        <v>1925</v>
      </c>
      <c r="F64" s="11" t="str">
        <f t="shared" si="3"/>
        <v>Long</v>
      </c>
      <c r="G64" s="7">
        <v>0</v>
      </c>
      <c r="H64" s="7">
        <v>0</v>
      </c>
      <c r="I64">
        <f t="shared" si="0"/>
        <v>0</v>
      </c>
      <c r="J64" s="7">
        <v>1</v>
      </c>
      <c r="K64" s="7">
        <v>2</v>
      </c>
      <c r="L64" s="7">
        <v>2</v>
      </c>
      <c r="M64" s="10">
        <f t="shared" si="1"/>
        <v>1.6666666666666667</v>
      </c>
      <c r="N64" s="11" t="str">
        <f t="shared" si="2"/>
        <v>Poor</v>
      </c>
      <c r="O64" s="8" t="s">
        <v>16</v>
      </c>
    </row>
    <row r="65" spans="1:15" x14ac:dyDescent="0.3">
      <c r="A65" s="7">
        <v>70148</v>
      </c>
      <c r="B65" s="8" t="s">
        <v>17</v>
      </c>
      <c r="C65" s="8" t="s">
        <v>18</v>
      </c>
      <c r="D65" s="8" t="s">
        <v>13</v>
      </c>
      <c r="E65" s="7">
        <v>1725</v>
      </c>
      <c r="F65" s="11" t="str">
        <f t="shared" si="3"/>
        <v>Long</v>
      </c>
      <c r="G65" s="7">
        <v>0</v>
      </c>
      <c r="H65" s="7">
        <v>0</v>
      </c>
      <c r="I65">
        <f t="shared" si="0"/>
        <v>0</v>
      </c>
      <c r="J65" s="7">
        <v>1</v>
      </c>
      <c r="K65" s="7">
        <v>2</v>
      </c>
      <c r="L65" s="7">
        <v>3</v>
      </c>
      <c r="M65" s="10">
        <f t="shared" si="1"/>
        <v>2</v>
      </c>
      <c r="N65" s="11" t="str">
        <f t="shared" si="2"/>
        <v>Poor</v>
      </c>
      <c r="O65" s="8" t="s">
        <v>14</v>
      </c>
    </row>
    <row r="66" spans="1:15" x14ac:dyDescent="0.3">
      <c r="A66" s="7">
        <v>70039</v>
      </c>
      <c r="B66" s="8" t="s">
        <v>17</v>
      </c>
      <c r="C66" s="8" t="s">
        <v>18</v>
      </c>
      <c r="D66" s="8" t="s">
        <v>15</v>
      </c>
      <c r="E66" s="7">
        <v>494</v>
      </c>
      <c r="F66" s="11" t="str">
        <f t="shared" si="3"/>
        <v>Short</v>
      </c>
      <c r="G66" s="7">
        <v>15</v>
      </c>
      <c r="H66" s="7">
        <v>12</v>
      </c>
      <c r="I66">
        <f t="shared" ref="I66:I129" si="4">IF(H66="",E66,H66)</f>
        <v>12</v>
      </c>
      <c r="J66" s="7">
        <v>5</v>
      </c>
      <c r="K66" s="7">
        <v>3</v>
      </c>
      <c r="L66" s="7">
        <v>3</v>
      </c>
      <c r="M66" s="10">
        <f t="shared" ref="M66:M129" si="5">IF(COUNT(J66:L66)=0,"",AVERAGE(J66:L66))</f>
        <v>3.6666666666666665</v>
      </c>
      <c r="N66" s="11" t="str">
        <f t="shared" ref="N66:N129" si="6">IF(M66="","",IF(M66&lt;2.5,"Poor",IF(M66&lt;3.5,"Average","Good")))</f>
        <v>Good</v>
      </c>
      <c r="O66" s="8" t="s">
        <v>16</v>
      </c>
    </row>
    <row r="67" spans="1:15" x14ac:dyDescent="0.3">
      <c r="A67" s="7">
        <v>70082</v>
      </c>
      <c r="B67" s="8" t="s">
        <v>11</v>
      </c>
      <c r="C67" s="8" t="s">
        <v>18</v>
      </c>
      <c r="D67" s="8" t="s">
        <v>13</v>
      </c>
      <c r="E67" s="7">
        <v>720</v>
      </c>
      <c r="F67" s="11" t="str">
        <f t="shared" ref="F67:F130" si="7">IF(E67="","",IF(E67&lt;500,"Short",IF(E67&lt;=1500,"Medium","Long")))</f>
        <v>Medium</v>
      </c>
      <c r="G67" s="7">
        <v>0</v>
      </c>
      <c r="H67" s="7">
        <v>4</v>
      </c>
      <c r="I67">
        <f t="shared" si="4"/>
        <v>4</v>
      </c>
      <c r="J67" s="7">
        <v>4</v>
      </c>
      <c r="K67" s="7">
        <v>1</v>
      </c>
      <c r="L67" s="7">
        <v>5</v>
      </c>
      <c r="M67" s="10">
        <f t="shared" si="5"/>
        <v>3.3333333333333335</v>
      </c>
      <c r="N67" s="11" t="str">
        <f t="shared" si="6"/>
        <v>Average</v>
      </c>
      <c r="O67" s="8" t="s">
        <v>16</v>
      </c>
    </row>
    <row r="68" spans="1:15" x14ac:dyDescent="0.3">
      <c r="A68" s="7">
        <v>70142</v>
      </c>
      <c r="B68" s="8" t="s">
        <v>11</v>
      </c>
      <c r="C68" s="8" t="s">
        <v>18</v>
      </c>
      <c r="D68" s="8" t="s">
        <v>19</v>
      </c>
      <c r="E68" s="7">
        <v>2926</v>
      </c>
      <c r="F68" s="11" t="str">
        <f t="shared" si="7"/>
        <v>Long</v>
      </c>
      <c r="G68" s="7">
        <v>0</v>
      </c>
      <c r="H68" s="7">
        <v>0</v>
      </c>
      <c r="I68">
        <f t="shared" si="4"/>
        <v>0</v>
      </c>
      <c r="J68" s="7">
        <v>3</v>
      </c>
      <c r="K68" s="7">
        <v>4</v>
      </c>
      <c r="L68" s="7">
        <v>3</v>
      </c>
      <c r="M68" s="10">
        <f t="shared" si="5"/>
        <v>3.3333333333333335</v>
      </c>
      <c r="N68" s="11" t="str">
        <f t="shared" si="6"/>
        <v>Average</v>
      </c>
      <c r="O68" s="8" t="s">
        <v>14</v>
      </c>
    </row>
    <row r="69" spans="1:15" x14ac:dyDescent="0.3">
      <c r="A69" s="7">
        <v>70230</v>
      </c>
      <c r="B69" s="8" t="s">
        <v>17</v>
      </c>
      <c r="C69" s="8" t="s">
        <v>12</v>
      </c>
      <c r="D69" s="8" t="s">
        <v>15</v>
      </c>
      <c r="E69" s="7">
        <v>3440</v>
      </c>
      <c r="F69" s="11" t="str">
        <f t="shared" si="7"/>
        <v>Long</v>
      </c>
      <c r="G69" s="7">
        <v>40</v>
      </c>
      <c r="H69" s="7">
        <v>48</v>
      </c>
      <c r="I69">
        <f t="shared" si="4"/>
        <v>48</v>
      </c>
      <c r="J69" s="7">
        <v>2</v>
      </c>
      <c r="K69" s="7">
        <v>2</v>
      </c>
      <c r="L69" s="7">
        <v>4</v>
      </c>
      <c r="M69" s="10">
        <f t="shared" si="5"/>
        <v>2.6666666666666665</v>
      </c>
      <c r="N69" s="11" t="str">
        <f t="shared" si="6"/>
        <v>Average</v>
      </c>
      <c r="O69" s="8" t="s">
        <v>16</v>
      </c>
    </row>
    <row r="70" spans="1:15" x14ac:dyDescent="0.3">
      <c r="A70" s="7">
        <v>70030</v>
      </c>
      <c r="B70" s="8" t="s">
        <v>17</v>
      </c>
      <c r="C70" s="8" t="s">
        <v>12</v>
      </c>
      <c r="D70" s="8" t="s">
        <v>15</v>
      </c>
      <c r="E70" s="7">
        <v>2159</v>
      </c>
      <c r="F70" s="11" t="str">
        <f t="shared" si="7"/>
        <v>Long</v>
      </c>
      <c r="G70" s="7">
        <v>5</v>
      </c>
      <c r="H70" s="7">
        <v>6</v>
      </c>
      <c r="I70">
        <f t="shared" si="4"/>
        <v>6</v>
      </c>
      <c r="J70" s="7">
        <v>3</v>
      </c>
      <c r="K70" s="7">
        <v>4</v>
      </c>
      <c r="L70" s="7">
        <v>3</v>
      </c>
      <c r="M70" s="10">
        <f t="shared" si="5"/>
        <v>3.3333333333333335</v>
      </c>
      <c r="N70" s="11" t="str">
        <f t="shared" si="6"/>
        <v>Average</v>
      </c>
      <c r="O70" s="8" t="s">
        <v>16</v>
      </c>
    </row>
    <row r="71" spans="1:15" x14ac:dyDescent="0.3">
      <c r="A71" s="7">
        <v>70102</v>
      </c>
      <c r="B71" s="8" t="s">
        <v>11</v>
      </c>
      <c r="C71" s="8" t="s">
        <v>12</v>
      </c>
      <c r="D71" s="8" t="s">
        <v>13</v>
      </c>
      <c r="E71" s="7">
        <v>2626</v>
      </c>
      <c r="F71" s="11" t="str">
        <f t="shared" si="7"/>
        <v>Long</v>
      </c>
      <c r="G71" s="7">
        <v>0</v>
      </c>
      <c r="H71" s="7">
        <v>4</v>
      </c>
      <c r="I71">
        <f t="shared" si="4"/>
        <v>4</v>
      </c>
      <c r="J71" s="7">
        <v>1</v>
      </c>
      <c r="K71" s="7">
        <v>1</v>
      </c>
      <c r="L71" s="7">
        <v>3</v>
      </c>
      <c r="M71" s="10">
        <f t="shared" si="5"/>
        <v>1.6666666666666667</v>
      </c>
      <c r="N71" s="11" t="str">
        <f t="shared" si="6"/>
        <v>Poor</v>
      </c>
      <c r="O71" s="8" t="s">
        <v>14</v>
      </c>
    </row>
    <row r="72" spans="1:15" x14ac:dyDescent="0.3">
      <c r="A72" s="7">
        <v>70018</v>
      </c>
      <c r="B72" s="8" t="s">
        <v>11</v>
      </c>
      <c r="C72" s="8" t="s">
        <v>12</v>
      </c>
      <c r="D72" s="8" t="s">
        <v>15</v>
      </c>
      <c r="E72" s="7">
        <v>300</v>
      </c>
      <c r="F72" s="11" t="str">
        <f t="shared" si="7"/>
        <v>Short</v>
      </c>
      <c r="G72" s="7">
        <v>15</v>
      </c>
      <c r="H72" s="7">
        <v>21</v>
      </c>
      <c r="I72">
        <f t="shared" si="4"/>
        <v>21</v>
      </c>
      <c r="J72" s="7">
        <v>3</v>
      </c>
      <c r="K72" s="7">
        <v>5</v>
      </c>
      <c r="L72" s="7">
        <v>1</v>
      </c>
      <c r="M72" s="10">
        <f t="shared" si="5"/>
        <v>3</v>
      </c>
      <c r="N72" s="11" t="str">
        <f t="shared" si="6"/>
        <v>Average</v>
      </c>
      <c r="O72" s="8" t="s">
        <v>14</v>
      </c>
    </row>
    <row r="73" spans="1:15" x14ac:dyDescent="0.3">
      <c r="A73" s="7">
        <v>70232</v>
      </c>
      <c r="B73" s="8" t="s">
        <v>11</v>
      </c>
      <c r="C73" s="8" t="s">
        <v>18</v>
      </c>
      <c r="D73" s="8" t="s">
        <v>15</v>
      </c>
      <c r="E73" s="7">
        <v>2512</v>
      </c>
      <c r="F73" s="11" t="str">
        <f t="shared" si="7"/>
        <v>Long</v>
      </c>
      <c r="G73" s="7">
        <v>90</v>
      </c>
      <c r="H73" s="7">
        <v>88</v>
      </c>
      <c r="I73">
        <f t="shared" si="4"/>
        <v>88</v>
      </c>
      <c r="J73" s="7">
        <v>5</v>
      </c>
      <c r="K73" s="7">
        <v>1</v>
      </c>
      <c r="L73" s="7">
        <v>4</v>
      </c>
      <c r="M73" s="10">
        <f t="shared" si="5"/>
        <v>3.3333333333333335</v>
      </c>
      <c r="N73" s="11" t="str">
        <f t="shared" si="6"/>
        <v>Average</v>
      </c>
      <c r="O73" s="8" t="s">
        <v>16</v>
      </c>
    </row>
    <row r="74" spans="1:15" x14ac:dyDescent="0.3">
      <c r="A74" s="7">
        <v>70061</v>
      </c>
      <c r="B74" s="8" t="s">
        <v>17</v>
      </c>
      <c r="C74" s="8" t="s">
        <v>18</v>
      </c>
      <c r="D74" s="8" t="s">
        <v>13</v>
      </c>
      <c r="E74" s="7">
        <v>2250</v>
      </c>
      <c r="F74" s="11" t="str">
        <f t="shared" si="7"/>
        <v>Long</v>
      </c>
      <c r="G74" s="7">
        <v>40</v>
      </c>
      <c r="H74" s="7">
        <v>48</v>
      </c>
      <c r="I74">
        <f t="shared" si="4"/>
        <v>48</v>
      </c>
      <c r="J74" s="7">
        <v>2</v>
      </c>
      <c r="K74" s="7">
        <v>5</v>
      </c>
      <c r="L74" s="7">
        <v>4</v>
      </c>
      <c r="M74" s="10">
        <f t="shared" si="5"/>
        <v>3.6666666666666665</v>
      </c>
      <c r="N74" s="11" t="str">
        <f t="shared" si="6"/>
        <v>Good</v>
      </c>
      <c r="O74" s="8" t="s">
        <v>16</v>
      </c>
    </row>
    <row r="75" spans="1:15" x14ac:dyDescent="0.3">
      <c r="A75" s="7">
        <v>70072</v>
      </c>
      <c r="B75" s="8" t="s">
        <v>17</v>
      </c>
      <c r="C75" s="8" t="s">
        <v>12</v>
      </c>
      <c r="D75" s="8" t="s">
        <v>13</v>
      </c>
      <c r="E75" s="7">
        <v>2266</v>
      </c>
      <c r="F75" s="11" t="str">
        <f t="shared" si="7"/>
        <v>Long</v>
      </c>
      <c r="G75" s="7">
        <v>15</v>
      </c>
      <c r="H75" s="7">
        <v>22</v>
      </c>
      <c r="I75">
        <f t="shared" si="4"/>
        <v>22</v>
      </c>
      <c r="J75" s="7">
        <v>5</v>
      </c>
      <c r="K75" s="7">
        <v>1</v>
      </c>
      <c r="L75" s="7">
        <v>1</v>
      </c>
      <c r="M75" s="10">
        <f t="shared" si="5"/>
        <v>2.3333333333333335</v>
      </c>
      <c r="N75" s="11" t="str">
        <f t="shared" si="6"/>
        <v>Poor</v>
      </c>
      <c r="O75" s="8" t="s">
        <v>16</v>
      </c>
    </row>
    <row r="76" spans="1:15" x14ac:dyDescent="0.3">
      <c r="A76" s="7">
        <v>70064</v>
      </c>
      <c r="B76" s="8" t="s">
        <v>17</v>
      </c>
      <c r="C76" s="8" t="s">
        <v>12</v>
      </c>
      <c r="D76" s="8" t="s">
        <v>19</v>
      </c>
      <c r="E76" s="7">
        <v>1717</v>
      </c>
      <c r="F76" s="11" t="str">
        <f t="shared" si="7"/>
        <v>Long</v>
      </c>
      <c r="G76" s="7">
        <v>90</v>
      </c>
      <c r="H76" s="7">
        <v>95</v>
      </c>
      <c r="I76">
        <f t="shared" si="4"/>
        <v>95</v>
      </c>
      <c r="J76" s="7">
        <v>4</v>
      </c>
      <c r="K76" s="7">
        <v>5</v>
      </c>
      <c r="L76" s="7">
        <v>2</v>
      </c>
      <c r="M76" s="10">
        <f t="shared" si="5"/>
        <v>3.6666666666666665</v>
      </c>
      <c r="N76" s="11" t="str">
        <f t="shared" si="6"/>
        <v>Good</v>
      </c>
      <c r="O76" s="8" t="s">
        <v>16</v>
      </c>
    </row>
    <row r="77" spans="1:15" x14ac:dyDescent="0.3">
      <c r="A77" s="7">
        <v>70137</v>
      </c>
      <c r="B77" s="8" t="s">
        <v>17</v>
      </c>
      <c r="C77" s="8" t="s">
        <v>12</v>
      </c>
      <c r="D77" s="8" t="s">
        <v>19</v>
      </c>
      <c r="E77" s="7">
        <v>1861</v>
      </c>
      <c r="F77" s="11" t="str">
        <f t="shared" si="7"/>
        <v>Long</v>
      </c>
      <c r="G77" s="7">
        <v>5</v>
      </c>
      <c r="H77" s="7">
        <v>8</v>
      </c>
      <c r="I77">
        <f t="shared" si="4"/>
        <v>8</v>
      </c>
      <c r="J77" s="7">
        <v>1</v>
      </c>
      <c r="K77" s="7">
        <v>5</v>
      </c>
      <c r="L77" s="7">
        <v>2</v>
      </c>
      <c r="M77" s="10">
        <f t="shared" si="5"/>
        <v>2.6666666666666665</v>
      </c>
      <c r="N77" s="11" t="str">
        <f t="shared" si="6"/>
        <v>Average</v>
      </c>
      <c r="O77" s="8" t="s">
        <v>16</v>
      </c>
    </row>
    <row r="78" spans="1:15" x14ac:dyDescent="0.3">
      <c r="A78" s="7">
        <v>70094</v>
      </c>
      <c r="B78" s="8" t="s">
        <v>11</v>
      </c>
      <c r="C78" s="8" t="s">
        <v>18</v>
      </c>
      <c r="D78" s="8" t="s">
        <v>13</v>
      </c>
      <c r="E78" s="7">
        <v>791</v>
      </c>
      <c r="F78" s="11" t="str">
        <f t="shared" si="7"/>
        <v>Medium</v>
      </c>
      <c r="G78" s="7">
        <v>5</v>
      </c>
      <c r="H78" s="7">
        <v>3</v>
      </c>
      <c r="I78">
        <f t="shared" si="4"/>
        <v>3</v>
      </c>
      <c r="J78" s="7">
        <v>4</v>
      </c>
      <c r="K78" s="7">
        <v>2</v>
      </c>
      <c r="L78" s="7">
        <v>4</v>
      </c>
      <c r="M78" s="10">
        <f t="shared" si="5"/>
        <v>3.3333333333333335</v>
      </c>
      <c r="N78" s="11" t="str">
        <f t="shared" si="6"/>
        <v>Average</v>
      </c>
      <c r="O78" s="8" t="s">
        <v>14</v>
      </c>
    </row>
    <row r="79" spans="1:15" x14ac:dyDescent="0.3">
      <c r="A79" s="7">
        <v>70192</v>
      </c>
      <c r="B79" s="8" t="s">
        <v>11</v>
      </c>
      <c r="C79" s="8" t="s">
        <v>18</v>
      </c>
      <c r="D79" s="8" t="s">
        <v>19</v>
      </c>
      <c r="E79" s="7">
        <v>1662</v>
      </c>
      <c r="F79" s="11" t="str">
        <f t="shared" si="7"/>
        <v>Long</v>
      </c>
      <c r="G79" s="7">
        <v>40</v>
      </c>
      <c r="H79" s="7">
        <v>46</v>
      </c>
      <c r="I79">
        <f t="shared" si="4"/>
        <v>46</v>
      </c>
      <c r="J79" s="7">
        <v>1</v>
      </c>
      <c r="K79" s="7">
        <v>1</v>
      </c>
      <c r="L79" s="7">
        <v>4</v>
      </c>
      <c r="M79" s="10">
        <f t="shared" si="5"/>
        <v>2</v>
      </c>
      <c r="N79" s="11" t="str">
        <f t="shared" si="6"/>
        <v>Poor</v>
      </c>
      <c r="O79" s="8" t="s">
        <v>14</v>
      </c>
    </row>
    <row r="80" spans="1:15" x14ac:dyDescent="0.3">
      <c r="A80" s="7">
        <v>70229</v>
      </c>
      <c r="B80" s="8" t="s">
        <v>11</v>
      </c>
      <c r="C80" s="8" t="s">
        <v>18</v>
      </c>
      <c r="D80" s="8" t="s">
        <v>13</v>
      </c>
      <c r="E80" s="7">
        <v>899</v>
      </c>
      <c r="F80" s="11" t="str">
        <f t="shared" si="7"/>
        <v>Medium</v>
      </c>
      <c r="G80" s="7">
        <v>40</v>
      </c>
      <c r="H80" s="7">
        <v>48</v>
      </c>
      <c r="I80">
        <f t="shared" si="4"/>
        <v>48</v>
      </c>
      <c r="J80" s="7">
        <v>5</v>
      </c>
      <c r="K80" s="7">
        <v>4</v>
      </c>
      <c r="L80" s="7">
        <v>3</v>
      </c>
      <c r="M80" s="10">
        <f t="shared" si="5"/>
        <v>4</v>
      </c>
      <c r="N80" s="11" t="str">
        <f t="shared" si="6"/>
        <v>Good</v>
      </c>
      <c r="O80" s="8" t="s">
        <v>16</v>
      </c>
    </row>
    <row r="81" spans="1:15" x14ac:dyDescent="0.3">
      <c r="A81" s="7">
        <v>70208</v>
      </c>
      <c r="B81" s="8" t="s">
        <v>11</v>
      </c>
      <c r="C81" s="8" t="s">
        <v>12</v>
      </c>
      <c r="D81" s="8" t="s">
        <v>13</v>
      </c>
      <c r="E81" s="7">
        <v>548</v>
      </c>
      <c r="F81" s="11" t="str">
        <f t="shared" si="7"/>
        <v>Medium</v>
      </c>
      <c r="G81" s="7">
        <v>0</v>
      </c>
      <c r="H81" s="7">
        <v>0</v>
      </c>
      <c r="I81">
        <f t="shared" si="4"/>
        <v>0</v>
      </c>
      <c r="J81" s="7">
        <v>3</v>
      </c>
      <c r="K81" s="7">
        <v>4</v>
      </c>
      <c r="L81" s="7">
        <v>4</v>
      </c>
      <c r="M81" s="10">
        <f t="shared" si="5"/>
        <v>3.6666666666666665</v>
      </c>
      <c r="N81" s="11" t="str">
        <f t="shared" si="6"/>
        <v>Good</v>
      </c>
      <c r="O81" s="8" t="s">
        <v>16</v>
      </c>
    </row>
    <row r="82" spans="1:15" x14ac:dyDescent="0.3">
      <c r="A82" s="7">
        <v>70189</v>
      </c>
      <c r="B82" s="8" t="s">
        <v>11</v>
      </c>
      <c r="C82" s="8" t="s">
        <v>12</v>
      </c>
      <c r="D82" s="8" t="s">
        <v>19</v>
      </c>
      <c r="E82" s="7">
        <v>1088</v>
      </c>
      <c r="F82" s="11" t="str">
        <f t="shared" si="7"/>
        <v>Medium</v>
      </c>
      <c r="G82" s="7">
        <v>15</v>
      </c>
      <c r="H82" s="7">
        <v>21</v>
      </c>
      <c r="I82">
        <f t="shared" si="4"/>
        <v>21</v>
      </c>
      <c r="J82" s="7">
        <v>5</v>
      </c>
      <c r="K82" s="7">
        <v>5</v>
      </c>
      <c r="L82" s="7">
        <v>4</v>
      </c>
      <c r="M82" s="10">
        <f t="shared" si="5"/>
        <v>4.666666666666667</v>
      </c>
      <c r="N82" s="11" t="str">
        <f t="shared" si="6"/>
        <v>Good</v>
      </c>
      <c r="O82" s="8" t="s">
        <v>16</v>
      </c>
    </row>
    <row r="83" spans="1:15" x14ac:dyDescent="0.3">
      <c r="A83" s="7">
        <v>70046</v>
      </c>
      <c r="B83" s="8" t="s">
        <v>17</v>
      </c>
      <c r="C83" s="8" t="s">
        <v>12</v>
      </c>
      <c r="D83" s="8" t="s">
        <v>19</v>
      </c>
      <c r="E83" s="7">
        <v>1171</v>
      </c>
      <c r="F83" s="11" t="str">
        <f t="shared" si="7"/>
        <v>Medium</v>
      </c>
      <c r="G83" s="7">
        <v>15</v>
      </c>
      <c r="H83" s="7">
        <v>16</v>
      </c>
      <c r="I83">
        <f t="shared" si="4"/>
        <v>16</v>
      </c>
      <c r="J83" s="7">
        <v>5</v>
      </c>
      <c r="K83" s="7">
        <v>3</v>
      </c>
      <c r="L83" s="7">
        <v>2</v>
      </c>
      <c r="M83" s="10">
        <f t="shared" si="5"/>
        <v>3.3333333333333335</v>
      </c>
      <c r="N83" s="11" t="str">
        <f t="shared" si="6"/>
        <v>Average</v>
      </c>
      <c r="O83" s="8" t="s">
        <v>14</v>
      </c>
    </row>
    <row r="84" spans="1:15" x14ac:dyDescent="0.3">
      <c r="A84" s="7">
        <v>70026</v>
      </c>
      <c r="B84" s="8" t="s">
        <v>17</v>
      </c>
      <c r="C84" s="8" t="s">
        <v>18</v>
      </c>
      <c r="D84" s="8" t="s">
        <v>19</v>
      </c>
      <c r="E84" s="7">
        <v>556</v>
      </c>
      <c r="F84" s="11" t="str">
        <f t="shared" si="7"/>
        <v>Medium</v>
      </c>
      <c r="G84" s="7">
        <v>15</v>
      </c>
      <c r="H84" s="7">
        <v>21</v>
      </c>
      <c r="I84">
        <f t="shared" si="4"/>
        <v>21</v>
      </c>
      <c r="J84" s="7">
        <v>1</v>
      </c>
      <c r="K84" s="7">
        <v>4</v>
      </c>
      <c r="L84" s="7">
        <v>4</v>
      </c>
      <c r="M84" s="10">
        <f t="shared" si="5"/>
        <v>3</v>
      </c>
      <c r="N84" s="11" t="str">
        <f t="shared" si="6"/>
        <v>Average</v>
      </c>
      <c r="O84" s="8" t="s">
        <v>16</v>
      </c>
    </row>
    <row r="85" spans="1:15" x14ac:dyDescent="0.3">
      <c r="A85" s="7">
        <v>70224</v>
      </c>
      <c r="B85" s="8" t="s">
        <v>11</v>
      </c>
      <c r="C85" s="8" t="s">
        <v>18</v>
      </c>
      <c r="D85" s="8" t="s">
        <v>19</v>
      </c>
      <c r="E85" s="7">
        <v>790</v>
      </c>
      <c r="F85" s="11" t="str">
        <f t="shared" si="7"/>
        <v>Medium</v>
      </c>
      <c r="G85" s="7">
        <v>15</v>
      </c>
      <c r="H85" s="7">
        <v>20</v>
      </c>
      <c r="I85">
        <f t="shared" si="4"/>
        <v>20</v>
      </c>
      <c r="J85" s="7">
        <v>2</v>
      </c>
      <c r="K85" s="7">
        <v>2</v>
      </c>
      <c r="L85" s="7">
        <v>5</v>
      </c>
      <c r="M85" s="10">
        <f t="shared" si="5"/>
        <v>3</v>
      </c>
      <c r="N85" s="11" t="str">
        <f t="shared" si="6"/>
        <v>Average</v>
      </c>
      <c r="O85" s="8" t="s">
        <v>16</v>
      </c>
    </row>
    <row r="86" spans="1:15" x14ac:dyDescent="0.3">
      <c r="A86" s="7">
        <v>70171</v>
      </c>
      <c r="B86" s="8" t="s">
        <v>17</v>
      </c>
      <c r="C86" s="8" t="s">
        <v>12</v>
      </c>
      <c r="D86" s="8" t="s">
        <v>19</v>
      </c>
      <c r="E86" s="7">
        <v>1598</v>
      </c>
      <c r="F86" s="11" t="str">
        <f t="shared" si="7"/>
        <v>Long</v>
      </c>
      <c r="G86" s="7">
        <v>15</v>
      </c>
      <c r="H86" s="7">
        <v>11</v>
      </c>
      <c r="I86">
        <f t="shared" si="4"/>
        <v>11</v>
      </c>
      <c r="J86" s="7">
        <v>5</v>
      </c>
      <c r="K86" s="7">
        <v>5</v>
      </c>
      <c r="L86" s="7">
        <v>5</v>
      </c>
      <c r="M86" s="10">
        <f t="shared" si="5"/>
        <v>5</v>
      </c>
      <c r="N86" s="11" t="str">
        <f t="shared" si="6"/>
        <v>Good</v>
      </c>
      <c r="O86" s="8" t="s">
        <v>14</v>
      </c>
    </row>
    <row r="87" spans="1:15" x14ac:dyDescent="0.3">
      <c r="A87" s="7">
        <v>70074</v>
      </c>
      <c r="B87" s="8" t="s">
        <v>11</v>
      </c>
      <c r="C87" s="8" t="s">
        <v>12</v>
      </c>
      <c r="D87" s="8" t="s">
        <v>19</v>
      </c>
      <c r="E87" s="7">
        <v>353</v>
      </c>
      <c r="F87" s="11" t="str">
        <f t="shared" si="7"/>
        <v>Short</v>
      </c>
      <c r="G87" s="7">
        <v>5</v>
      </c>
      <c r="H87" s="7">
        <v>9</v>
      </c>
      <c r="I87">
        <f t="shared" si="4"/>
        <v>9</v>
      </c>
      <c r="J87" s="7">
        <v>2</v>
      </c>
      <c r="K87" s="7">
        <v>3</v>
      </c>
      <c r="L87" s="7">
        <v>1</v>
      </c>
      <c r="M87" s="10">
        <f t="shared" si="5"/>
        <v>2</v>
      </c>
      <c r="N87" s="11" t="str">
        <f t="shared" si="6"/>
        <v>Poor</v>
      </c>
      <c r="O87" s="8" t="s">
        <v>16</v>
      </c>
    </row>
    <row r="88" spans="1:15" x14ac:dyDescent="0.3">
      <c r="A88" s="7">
        <v>70020</v>
      </c>
      <c r="B88" s="8" t="s">
        <v>11</v>
      </c>
      <c r="C88" s="8" t="s">
        <v>12</v>
      </c>
      <c r="D88" s="8" t="s">
        <v>19</v>
      </c>
      <c r="E88" s="7">
        <v>1942</v>
      </c>
      <c r="F88" s="11" t="str">
        <f t="shared" si="7"/>
        <v>Long</v>
      </c>
      <c r="G88" s="7">
        <v>0</v>
      </c>
      <c r="H88" s="7">
        <v>0</v>
      </c>
      <c r="I88">
        <f t="shared" si="4"/>
        <v>0</v>
      </c>
      <c r="J88" s="7">
        <v>5</v>
      </c>
      <c r="K88" s="7">
        <v>3</v>
      </c>
      <c r="L88" s="7">
        <v>2</v>
      </c>
      <c r="M88" s="10">
        <f t="shared" si="5"/>
        <v>3.3333333333333335</v>
      </c>
      <c r="N88" s="11" t="str">
        <f t="shared" si="6"/>
        <v>Average</v>
      </c>
      <c r="O88" s="8" t="s">
        <v>14</v>
      </c>
    </row>
    <row r="89" spans="1:15" x14ac:dyDescent="0.3">
      <c r="A89" s="7">
        <v>70222</v>
      </c>
      <c r="B89" s="8" t="s">
        <v>17</v>
      </c>
      <c r="C89" s="8" t="s">
        <v>18</v>
      </c>
      <c r="D89" s="8" t="s">
        <v>13</v>
      </c>
      <c r="E89" s="7">
        <v>225</v>
      </c>
      <c r="F89" s="11" t="str">
        <f t="shared" si="7"/>
        <v>Short</v>
      </c>
      <c r="G89" s="7">
        <v>0</v>
      </c>
      <c r="H89" s="7">
        <v>9</v>
      </c>
      <c r="I89">
        <f t="shared" si="4"/>
        <v>9</v>
      </c>
      <c r="J89" s="7">
        <v>3</v>
      </c>
      <c r="K89" s="7">
        <v>3</v>
      </c>
      <c r="L89" s="7">
        <v>2</v>
      </c>
      <c r="M89" s="10">
        <f t="shared" si="5"/>
        <v>2.6666666666666665</v>
      </c>
      <c r="N89" s="11" t="str">
        <f t="shared" si="6"/>
        <v>Average</v>
      </c>
      <c r="O89" s="8" t="s">
        <v>14</v>
      </c>
    </row>
    <row r="90" spans="1:15" x14ac:dyDescent="0.3">
      <c r="A90" s="7">
        <v>70010</v>
      </c>
      <c r="B90" s="8" t="s">
        <v>11</v>
      </c>
      <c r="C90" s="8" t="s">
        <v>12</v>
      </c>
      <c r="D90" s="8" t="s">
        <v>13</v>
      </c>
      <c r="E90" s="7">
        <v>1215</v>
      </c>
      <c r="F90" s="11" t="str">
        <f t="shared" si="7"/>
        <v>Medium</v>
      </c>
      <c r="G90" s="7">
        <v>40</v>
      </c>
      <c r="H90" s="7">
        <v>40</v>
      </c>
      <c r="I90">
        <f t="shared" si="4"/>
        <v>40</v>
      </c>
      <c r="J90" s="7">
        <v>4</v>
      </c>
      <c r="K90" s="7">
        <v>1</v>
      </c>
      <c r="L90" s="7">
        <v>3</v>
      </c>
      <c r="M90" s="10">
        <f t="shared" si="5"/>
        <v>2.6666666666666665</v>
      </c>
      <c r="N90" s="11" t="str">
        <f t="shared" si="6"/>
        <v>Average</v>
      </c>
      <c r="O90" s="8" t="s">
        <v>14</v>
      </c>
    </row>
    <row r="91" spans="1:15" x14ac:dyDescent="0.3">
      <c r="A91" s="7">
        <v>70059</v>
      </c>
      <c r="B91" s="8" t="s">
        <v>11</v>
      </c>
      <c r="C91" s="8" t="s">
        <v>12</v>
      </c>
      <c r="D91" s="8" t="s">
        <v>15</v>
      </c>
      <c r="E91" s="7">
        <v>1820</v>
      </c>
      <c r="F91" s="11" t="str">
        <f t="shared" si="7"/>
        <v>Long</v>
      </c>
      <c r="G91" s="7">
        <v>5</v>
      </c>
      <c r="H91" s="7">
        <v>7</v>
      </c>
      <c r="I91">
        <f t="shared" si="4"/>
        <v>7</v>
      </c>
      <c r="J91" s="7">
        <v>5</v>
      </c>
      <c r="K91" s="7">
        <v>2</v>
      </c>
      <c r="L91" s="7">
        <v>3</v>
      </c>
      <c r="M91" s="10">
        <f t="shared" si="5"/>
        <v>3.3333333333333335</v>
      </c>
      <c r="N91" s="11" t="str">
        <f t="shared" si="6"/>
        <v>Average</v>
      </c>
      <c r="O91" s="8" t="s">
        <v>14</v>
      </c>
    </row>
    <row r="92" spans="1:15" x14ac:dyDescent="0.3">
      <c r="A92" s="7">
        <v>70135</v>
      </c>
      <c r="B92" s="8" t="s">
        <v>11</v>
      </c>
      <c r="C92" s="8" t="s">
        <v>12</v>
      </c>
      <c r="D92" s="8" t="s">
        <v>13</v>
      </c>
      <c r="E92" s="7">
        <v>3332</v>
      </c>
      <c r="F92" s="11" t="str">
        <f t="shared" si="7"/>
        <v>Long</v>
      </c>
      <c r="G92" s="7">
        <v>15</v>
      </c>
      <c r="H92" s="7">
        <v>23</v>
      </c>
      <c r="I92">
        <f t="shared" si="4"/>
        <v>23</v>
      </c>
      <c r="J92" s="7">
        <v>4</v>
      </c>
      <c r="K92" s="7">
        <v>5</v>
      </c>
      <c r="L92" s="7">
        <v>3</v>
      </c>
      <c r="M92" s="10">
        <f t="shared" si="5"/>
        <v>4</v>
      </c>
      <c r="N92" s="11" t="str">
        <f t="shared" si="6"/>
        <v>Good</v>
      </c>
      <c r="O92" s="8" t="s">
        <v>16</v>
      </c>
    </row>
    <row r="93" spans="1:15" x14ac:dyDescent="0.3">
      <c r="A93" s="7">
        <v>70037</v>
      </c>
      <c r="B93" s="8" t="s">
        <v>17</v>
      </c>
      <c r="C93" s="8" t="s">
        <v>12</v>
      </c>
      <c r="D93" s="8" t="s">
        <v>15</v>
      </c>
      <c r="E93" s="7">
        <v>2890</v>
      </c>
      <c r="F93" s="11" t="str">
        <f t="shared" si="7"/>
        <v>Long</v>
      </c>
      <c r="G93" s="7">
        <v>0</v>
      </c>
      <c r="H93" s="7">
        <v>6</v>
      </c>
      <c r="I93">
        <f t="shared" si="4"/>
        <v>6</v>
      </c>
      <c r="J93" s="7">
        <v>4</v>
      </c>
      <c r="K93" s="7">
        <v>1</v>
      </c>
      <c r="L93" s="7">
        <v>3</v>
      </c>
      <c r="M93" s="10">
        <f t="shared" si="5"/>
        <v>2.6666666666666665</v>
      </c>
      <c r="N93" s="11" t="str">
        <f t="shared" si="6"/>
        <v>Average</v>
      </c>
      <c r="O93" s="8" t="s">
        <v>16</v>
      </c>
    </row>
    <row r="94" spans="1:15" x14ac:dyDescent="0.3">
      <c r="A94" s="7">
        <v>70099</v>
      </c>
      <c r="B94" s="8" t="s">
        <v>11</v>
      </c>
      <c r="C94" s="8" t="s">
        <v>18</v>
      </c>
      <c r="D94" s="8" t="s">
        <v>15</v>
      </c>
      <c r="E94" s="7">
        <v>855</v>
      </c>
      <c r="F94" s="11" t="str">
        <f t="shared" si="7"/>
        <v>Medium</v>
      </c>
      <c r="G94" s="7">
        <v>90</v>
      </c>
      <c r="H94" s="7">
        <v>95</v>
      </c>
      <c r="I94">
        <f t="shared" si="4"/>
        <v>95</v>
      </c>
      <c r="J94" s="7">
        <v>4</v>
      </c>
      <c r="K94" s="7">
        <v>2</v>
      </c>
      <c r="L94" s="7">
        <v>3</v>
      </c>
      <c r="M94" s="10">
        <f t="shared" si="5"/>
        <v>3</v>
      </c>
      <c r="N94" s="11" t="str">
        <f t="shared" si="6"/>
        <v>Average</v>
      </c>
      <c r="O94" s="8" t="s">
        <v>16</v>
      </c>
    </row>
    <row r="95" spans="1:15" x14ac:dyDescent="0.3">
      <c r="A95" s="7">
        <v>70249</v>
      </c>
      <c r="B95" s="8" t="s">
        <v>11</v>
      </c>
      <c r="C95" s="8" t="s">
        <v>18</v>
      </c>
      <c r="D95" s="8" t="s">
        <v>15</v>
      </c>
      <c r="E95" s="7">
        <v>3020</v>
      </c>
      <c r="F95" s="11" t="str">
        <f t="shared" si="7"/>
        <v>Long</v>
      </c>
      <c r="G95" s="7">
        <v>90</v>
      </c>
      <c r="H95" s="7">
        <v>89</v>
      </c>
      <c r="I95">
        <f t="shared" si="4"/>
        <v>89</v>
      </c>
      <c r="J95" s="7">
        <v>2</v>
      </c>
      <c r="K95" s="7">
        <v>2</v>
      </c>
      <c r="L95" s="7">
        <v>5</v>
      </c>
      <c r="M95" s="10">
        <f t="shared" si="5"/>
        <v>3</v>
      </c>
      <c r="N95" s="11" t="str">
        <f t="shared" si="6"/>
        <v>Average</v>
      </c>
      <c r="O95" s="8" t="s">
        <v>14</v>
      </c>
    </row>
    <row r="96" spans="1:15" x14ac:dyDescent="0.3">
      <c r="A96" s="7">
        <v>70114</v>
      </c>
      <c r="B96" s="8" t="s">
        <v>11</v>
      </c>
      <c r="C96" s="8" t="s">
        <v>18</v>
      </c>
      <c r="D96" s="8" t="s">
        <v>13</v>
      </c>
      <c r="E96" s="7">
        <v>386</v>
      </c>
      <c r="F96" s="11" t="str">
        <f t="shared" si="7"/>
        <v>Short</v>
      </c>
      <c r="G96" s="7">
        <v>90</v>
      </c>
      <c r="H96" s="7">
        <v>65</v>
      </c>
      <c r="I96">
        <f t="shared" si="4"/>
        <v>65</v>
      </c>
      <c r="J96" s="7">
        <v>2</v>
      </c>
      <c r="K96" s="7">
        <v>5</v>
      </c>
      <c r="L96" s="7">
        <v>3</v>
      </c>
      <c r="M96" s="10">
        <f t="shared" si="5"/>
        <v>3.3333333333333335</v>
      </c>
      <c r="N96" s="11" t="str">
        <f t="shared" si="6"/>
        <v>Average</v>
      </c>
      <c r="O96" s="8" t="s">
        <v>16</v>
      </c>
    </row>
    <row r="97" spans="1:15" x14ac:dyDescent="0.3">
      <c r="A97" s="7">
        <v>70149</v>
      </c>
      <c r="B97" s="8" t="s">
        <v>11</v>
      </c>
      <c r="C97" s="8" t="s">
        <v>12</v>
      </c>
      <c r="D97" s="8" t="s">
        <v>19</v>
      </c>
      <c r="E97" s="7">
        <v>2663</v>
      </c>
      <c r="F97" s="11" t="str">
        <f t="shared" si="7"/>
        <v>Long</v>
      </c>
      <c r="G97" s="7">
        <v>5</v>
      </c>
      <c r="H97" s="7">
        <v>1</v>
      </c>
      <c r="I97">
        <f t="shared" si="4"/>
        <v>1</v>
      </c>
      <c r="J97" s="7">
        <v>4</v>
      </c>
      <c r="K97" s="7">
        <v>4</v>
      </c>
      <c r="L97" s="7">
        <v>3</v>
      </c>
      <c r="M97" s="10">
        <f t="shared" si="5"/>
        <v>3.6666666666666665</v>
      </c>
      <c r="N97" s="11" t="str">
        <f t="shared" si="6"/>
        <v>Good</v>
      </c>
      <c r="O97" s="8" t="s">
        <v>14</v>
      </c>
    </row>
    <row r="98" spans="1:15" x14ac:dyDescent="0.3">
      <c r="A98" s="7">
        <v>70069</v>
      </c>
      <c r="B98" s="8" t="s">
        <v>17</v>
      </c>
      <c r="C98" s="8" t="s">
        <v>12</v>
      </c>
      <c r="D98" s="8" t="s">
        <v>15</v>
      </c>
      <c r="E98" s="7">
        <v>1824</v>
      </c>
      <c r="F98" s="11" t="str">
        <f t="shared" si="7"/>
        <v>Long</v>
      </c>
      <c r="G98" s="7">
        <v>90</v>
      </c>
      <c r="H98" s="7">
        <v>97</v>
      </c>
      <c r="I98">
        <f t="shared" si="4"/>
        <v>97</v>
      </c>
      <c r="J98" s="7">
        <v>2</v>
      </c>
      <c r="K98" s="7">
        <v>1</v>
      </c>
      <c r="L98" s="7">
        <v>1</v>
      </c>
      <c r="M98" s="10">
        <f t="shared" si="5"/>
        <v>1.3333333333333333</v>
      </c>
      <c r="N98" s="11" t="str">
        <f t="shared" si="6"/>
        <v>Poor</v>
      </c>
      <c r="O98" s="8" t="s">
        <v>16</v>
      </c>
    </row>
    <row r="99" spans="1:15" x14ac:dyDescent="0.3">
      <c r="A99" s="7">
        <v>70220</v>
      </c>
      <c r="B99" s="8" t="s">
        <v>11</v>
      </c>
      <c r="C99" s="8" t="s">
        <v>18</v>
      </c>
      <c r="D99" s="8" t="s">
        <v>13</v>
      </c>
      <c r="E99" s="7">
        <v>3244</v>
      </c>
      <c r="F99" s="11" t="str">
        <f t="shared" si="7"/>
        <v>Long</v>
      </c>
      <c r="G99" s="7">
        <v>15</v>
      </c>
      <c r="H99" s="7">
        <v>25</v>
      </c>
      <c r="I99">
        <f t="shared" si="4"/>
        <v>25</v>
      </c>
      <c r="J99" s="7">
        <v>1</v>
      </c>
      <c r="K99" s="7">
        <v>4</v>
      </c>
      <c r="L99" s="7">
        <v>4</v>
      </c>
      <c r="M99" s="10">
        <f t="shared" si="5"/>
        <v>3</v>
      </c>
      <c r="N99" s="11" t="str">
        <f t="shared" si="6"/>
        <v>Average</v>
      </c>
      <c r="O99" s="8" t="s">
        <v>16</v>
      </c>
    </row>
    <row r="100" spans="1:15" x14ac:dyDescent="0.3">
      <c r="A100" s="7">
        <v>70151</v>
      </c>
      <c r="B100" s="8" t="s">
        <v>17</v>
      </c>
      <c r="C100" s="8" t="s">
        <v>18</v>
      </c>
      <c r="D100" s="8" t="s">
        <v>13</v>
      </c>
      <c r="E100" s="7">
        <v>2156</v>
      </c>
      <c r="F100" s="11" t="str">
        <f t="shared" si="7"/>
        <v>Long</v>
      </c>
      <c r="G100" s="7">
        <v>5</v>
      </c>
      <c r="H100" s="7">
        <v>4</v>
      </c>
      <c r="I100">
        <f t="shared" si="4"/>
        <v>4</v>
      </c>
      <c r="J100" s="7">
        <v>3</v>
      </c>
      <c r="K100" s="7">
        <v>4</v>
      </c>
      <c r="L100" s="7">
        <v>2</v>
      </c>
      <c r="M100" s="10">
        <f t="shared" si="5"/>
        <v>3</v>
      </c>
      <c r="N100" s="11" t="str">
        <f t="shared" si="6"/>
        <v>Average</v>
      </c>
      <c r="O100" s="8" t="s">
        <v>16</v>
      </c>
    </row>
    <row r="101" spans="1:15" x14ac:dyDescent="0.3">
      <c r="A101" s="7">
        <v>70139</v>
      </c>
      <c r="B101" s="8" t="s">
        <v>11</v>
      </c>
      <c r="C101" s="8" t="s">
        <v>18</v>
      </c>
      <c r="D101" s="8" t="s">
        <v>19</v>
      </c>
      <c r="E101" s="7">
        <v>1286</v>
      </c>
      <c r="F101" s="11" t="str">
        <f t="shared" si="7"/>
        <v>Medium</v>
      </c>
      <c r="G101" s="7">
        <v>5</v>
      </c>
      <c r="H101" s="7">
        <v>9</v>
      </c>
      <c r="I101">
        <f t="shared" si="4"/>
        <v>9</v>
      </c>
      <c r="J101" s="7">
        <v>3</v>
      </c>
      <c r="K101" s="7">
        <v>1</v>
      </c>
      <c r="L101" s="7">
        <v>5</v>
      </c>
      <c r="M101" s="10">
        <f t="shared" si="5"/>
        <v>3</v>
      </c>
      <c r="N101" s="11" t="str">
        <f t="shared" si="6"/>
        <v>Average</v>
      </c>
      <c r="O101" s="8" t="s">
        <v>14</v>
      </c>
    </row>
    <row r="102" spans="1:15" x14ac:dyDescent="0.3">
      <c r="A102" s="7">
        <v>70009</v>
      </c>
      <c r="B102" s="8" t="s">
        <v>11</v>
      </c>
      <c r="C102" s="8" t="s">
        <v>18</v>
      </c>
      <c r="D102" s="8" t="s">
        <v>13</v>
      </c>
      <c r="E102" s="7">
        <v>1288</v>
      </c>
      <c r="F102" s="11" t="str">
        <f t="shared" si="7"/>
        <v>Medium</v>
      </c>
      <c r="G102" s="7">
        <v>90</v>
      </c>
      <c r="H102" s="7">
        <v>90</v>
      </c>
      <c r="I102">
        <f t="shared" si="4"/>
        <v>90</v>
      </c>
      <c r="J102" s="7">
        <v>4</v>
      </c>
      <c r="K102" s="7">
        <v>1</v>
      </c>
      <c r="L102" s="7">
        <v>3</v>
      </c>
      <c r="M102" s="10">
        <f t="shared" si="5"/>
        <v>2.6666666666666665</v>
      </c>
      <c r="N102" s="11" t="str">
        <f t="shared" si="6"/>
        <v>Average</v>
      </c>
      <c r="O102" s="8" t="s">
        <v>14</v>
      </c>
    </row>
    <row r="103" spans="1:15" x14ac:dyDescent="0.3">
      <c r="A103" s="7">
        <v>70225</v>
      </c>
      <c r="B103" s="8" t="s">
        <v>11</v>
      </c>
      <c r="C103" s="8" t="s">
        <v>18</v>
      </c>
      <c r="D103" s="8" t="s">
        <v>19</v>
      </c>
      <c r="E103" s="7">
        <v>2589</v>
      </c>
      <c r="F103" s="11" t="str">
        <f t="shared" si="7"/>
        <v>Long</v>
      </c>
      <c r="G103" s="7">
        <v>90</v>
      </c>
      <c r="H103" s="7">
        <v>93</v>
      </c>
      <c r="I103">
        <f t="shared" si="4"/>
        <v>93</v>
      </c>
      <c r="J103" s="7">
        <v>3</v>
      </c>
      <c r="K103" s="7">
        <v>4</v>
      </c>
      <c r="L103" s="7">
        <v>4</v>
      </c>
      <c r="M103" s="10">
        <f t="shared" si="5"/>
        <v>3.6666666666666665</v>
      </c>
      <c r="N103" s="11" t="str">
        <f t="shared" si="6"/>
        <v>Good</v>
      </c>
      <c r="O103" s="8" t="s">
        <v>16</v>
      </c>
    </row>
    <row r="104" spans="1:15" x14ac:dyDescent="0.3">
      <c r="A104" s="7">
        <v>70122</v>
      </c>
      <c r="B104" s="8" t="s">
        <v>17</v>
      </c>
      <c r="C104" s="8" t="s">
        <v>12</v>
      </c>
      <c r="D104" s="8" t="s">
        <v>13</v>
      </c>
      <c r="E104" s="7">
        <v>871</v>
      </c>
      <c r="F104" s="11" t="str">
        <f t="shared" si="7"/>
        <v>Medium</v>
      </c>
      <c r="G104" s="7">
        <v>90</v>
      </c>
      <c r="H104" s="7">
        <v>99</v>
      </c>
      <c r="I104">
        <f t="shared" si="4"/>
        <v>99</v>
      </c>
      <c r="J104" s="7">
        <v>4</v>
      </c>
      <c r="K104" s="7">
        <v>2</v>
      </c>
      <c r="L104" s="7">
        <v>2</v>
      </c>
      <c r="M104" s="10">
        <f t="shared" si="5"/>
        <v>2.6666666666666665</v>
      </c>
      <c r="N104" s="11" t="str">
        <f t="shared" si="6"/>
        <v>Average</v>
      </c>
      <c r="O104" s="8" t="s">
        <v>14</v>
      </c>
    </row>
    <row r="105" spans="1:15" x14ac:dyDescent="0.3">
      <c r="A105" s="7">
        <v>70019</v>
      </c>
      <c r="B105" s="8" t="s">
        <v>11</v>
      </c>
      <c r="C105" s="8" t="s">
        <v>18</v>
      </c>
      <c r="D105" s="8" t="s">
        <v>13</v>
      </c>
      <c r="E105" s="7">
        <v>3187</v>
      </c>
      <c r="F105" s="11" t="str">
        <f t="shared" si="7"/>
        <v>Long</v>
      </c>
      <c r="G105" s="7">
        <v>15</v>
      </c>
      <c r="H105" s="7">
        <v>14</v>
      </c>
      <c r="I105">
        <f t="shared" si="4"/>
        <v>14</v>
      </c>
      <c r="J105" s="7">
        <v>1</v>
      </c>
      <c r="K105" s="7">
        <v>3</v>
      </c>
      <c r="L105" s="7">
        <v>2</v>
      </c>
      <c r="M105" s="10">
        <f t="shared" si="5"/>
        <v>2</v>
      </c>
      <c r="N105" s="11" t="str">
        <f t="shared" si="6"/>
        <v>Poor</v>
      </c>
      <c r="O105" s="8" t="s">
        <v>14</v>
      </c>
    </row>
    <row r="106" spans="1:15" x14ac:dyDescent="0.3">
      <c r="A106" s="7">
        <v>70180</v>
      </c>
      <c r="B106" s="8" t="s">
        <v>17</v>
      </c>
      <c r="C106" s="8" t="s">
        <v>18</v>
      </c>
      <c r="D106" s="8" t="s">
        <v>15</v>
      </c>
      <c r="E106" s="7">
        <v>3280</v>
      </c>
      <c r="F106" s="11" t="str">
        <f t="shared" si="7"/>
        <v>Long</v>
      </c>
      <c r="G106" s="7">
        <v>40</v>
      </c>
      <c r="H106" s="7">
        <v>48</v>
      </c>
      <c r="I106">
        <f t="shared" si="4"/>
        <v>48</v>
      </c>
      <c r="J106" s="7">
        <v>5</v>
      </c>
      <c r="K106" s="7">
        <v>1</v>
      </c>
      <c r="L106" s="7">
        <v>1</v>
      </c>
      <c r="M106" s="10">
        <f t="shared" si="5"/>
        <v>2.3333333333333335</v>
      </c>
      <c r="N106" s="11" t="str">
        <f t="shared" si="6"/>
        <v>Poor</v>
      </c>
      <c r="O106" s="8" t="s">
        <v>16</v>
      </c>
    </row>
    <row r="107" spans="1:15" x14ac:dyDescent="0.3">
      <c r="A107" s="7">
        <v>70100</v>
      </c>
      <c r="B107" s="8" t="s">
        <v>17</v>
      </c>
      <c r="C107" s="8" t="s">
        <v>12</v>
      </c>
      <c r="D107" s="8" t="s">
        <v>13</v>
      </c>
      <c r="E107" s="7">
        <v>3455</v>
      </c>
      <c r="F107" s="11" t="str">
        <f t="shared" si="7"/>
        <v>Long</v>
      </c>
      <c r="G107" s="7">
        <v>15</v>
      </c>
      <c r="H107" s="7">
        <v>15</v>
      </c>
      <c r="I107">
        <f t="shared" si="4"/>
        <v>15</v>
      </c>
      <c r="J107" s="7">
        <v>2</v>
      </c>
      <c r="K107" s="7">
        <v>3</v>
      </c>
      <c r="L107" s="7">
        <v>5</v>
      </c>
      <c r="M107" s="10">
        <f t="shared" si="5"/>
        <v>3.3333333333333335</v>
      </c>
      <c r="N107" s="11" t="str">
        <f t="shared" si="6"/>
        <v>Average</v>
      </c>
      <c r="O107" s="8" t="s">
        <v>14</v>
      </c>
    </row>
    <row r="108" spans="1:15" x14ac:dyDescent="0.3">
      <c r="A108" s="7">
        <v>70134</v>
      </c>
      <c r="B108" s="8" t="s">
        <v>17</v>
      </c>
      <c r="C108" s="8" t="s">
        <v>12</v>
      </c>
      <c r="D108" s="8" t="s">
        <v>15</v>
      </c>
      <c r="E108" s="7">
        <v>3223</v>
      </c>
      <c r="F108" s="11" t="str">
        <f t="shared" si="7"/>
        <v>Long</v>
      </c>
      <c r="G108" s="7">
        <v>0</v>
      </c>
      <c r="H108" s="7">
        <v>4</v>
      </c>
      <c r="I108">
        <f t="shared" si="4"/>
        <v>4</v>
      </c>
      <c r="J108" s="7">
        <v>2</v>
      </c>
      <c r="K108" s="7">
        <v>5</v>
      </c>
      <c r="L108" s="7">
        <v>5</v>
      </c>
      <c r="M108" s="10">
        <f t="shared" si="5"/>
        <v>4</v>
      </c>
      <c r="N108" s="11" t="str">
        <f t="shared" si="6"/>
        <v>Good</v>
      </c>
      <c r="O108" s="8" t="s">
        <v>16</v>
      </c>
    </row>
    <row r="109" spans="1:15" x14ac:dyDescent="0.3">
      <c r="A109" s="7">
        <v>70181</v>
      </c>
      <c r="B109" s="8" t="s">
        <v>11</v>
      </c>
      <c r="C109" s="8" t="s">
        <v>18</v>
      </c>
      <c r="D109" s="8" t="s">
        <v>15</v>
      </c>
      <c r="E109" s="7">
        <v>1326</v>
      </c>
      <c r="F109" s="11" t="str">
        <f t="shared" si="7"/>
        <v>Medium</v>
      </c>
      <c r="G109" s="7">
        <v>15</v>
      </c>
      <c r="H109" s="7">
        <v>20</v>
      </c>
      <c r="I109">
        <f t="shared" si="4"/>
        <v>20</v>
      </c>
      <c r="J109" s="7">
        <v>5</v>
      </c>
      <c r="K109" s="7">
        <v>1</v>
      </c>
      <c r="L109" s="7">
        <v>1</v>
      </c>
      <c r="M109" s="10">
        <f t="shared" si="5"/>
        <v>2.3333333333333335</v>
      </c>
      <c r="N109" s="11" t="str">
        <f t="shared" si="6"/>
        <v>Poor</v>
      </c>
      <c r="O109" s="8" t="s">
        <v>16</v>
      </c>
    </row>
    <row r="110" spans="1:15" x14ac:dyDescent="0.3">
      <c r="A110" s="7">
        <v>70242</v>
      </c>
      <c r="B110" s="8" t="s">
        <v>17</v>
      </c>
      <c r="C110" s="8" t="s">
        <v>18</v>
      </c>
      <c r="D110" s="8" t="s">
        <v>15</v>
      </c>
      <c r="E110" s="7">
        <v>2166</v>
      </c>
      <c r="F110" s="11" t="str">
        <f t="shared" si="7"/>
        <v>Long</v>
      </c>
      <c r="G110" s="7">
        <v>40</v>
      </c>
      <c r="H110" s="7">
        <v>43</v>
      </c>
      <c r="I110">
        <f t="shared" si="4"/>
        <v>43</v>
      </c>
      <c r="J110" s="7">
        <v>4</v>
      </c>
      <c r="K110" s="7">
        <v>2</v>
      </c>
      <c r="L110" s="7">
        <v>1</v>
      </c>
      <c r="M110" s="10">
        <f t="shared" si="5"/>
        <v>2.3333333333333335</v>
      </c>
      <c r="N110" s="11" t="str">
        <f t="shared" si="6"/>
        <v>Poor</v>
      </c>
      <c r="O110" s="8" t="s">
        <v>14</v>
      </c>
    </row>
    <row r="111" spans="1:15" x14ac:dyDescent="0.3">
      <c r="A111" s="7">
        <v>70103</v>
      </c>
      <c r="B111" s="8" t="s">
        <v>17</v>
      </c>
      <c r="C111" s="8" t="s">
        <v>18</v>
      </c>
      <c r="D111" s="8" t="s">
        <v>19</v>
      </c>
      <c r="E111" s="7">
        <v>1493</v>
      </c>
      <c r="F111" s="11" t="str">
        <f t="shared" si="7"/>
        <v>Medium</v>
      </c>
      <c r="G111" s="7">
        <v>40</v>
      </c>
      <c r="H111" s="7">
        <v>47</v>
      </c>
      <c r="I111">
        <f t="shared" si="4"/>
        <v>47</v>
      </c>
      <c r="J111" s="7">
        <v>2</v>
      </c>
      <c r="K111" s="7">
        <v>4</v>
      </c>
      <c r="L111" s="7">
        <v>2</v>
      </c>
      <c r="M111" s="10">
        <f t="shared" si="5"/>
        <v>2.6666666666666665</v>
      </c>
      <c r="N111" s="11" t="str">
        <f t="shared" si="6"/>
        <v>Average</v>
      </c>
      <c r="O111" s="8" t="s">
        <v>16</v>
      </c>
    </row>
    <row r="112" spans="1:15" x14ac:dyDescent="0.3">
      <c r="A112" s="7">
        <v>70090</v>
      </c>
      <c r="B112" s="8" t="s">
        <v>17</v>
      </c>
      <c r="C112" s="8" t="s">
        <v>12</v>
      </c>
      <c r="D112" s="8" t="s">
        <v>15</v>
      </c>
      <c r="E112" s="7">
        <v>3242</v>
      </c>
      <c r="F112" s="11" t="str">
        <f t="shared" si="7"/>
        <v>Long</v>
      </c>
      <c r="G112" s="7">
        <v>40</v>
      </c>
      <c r="H112" s="7">
        <v>36</v>
      </c>
      <c r="I112">
        <f t="shared" si="4"/>
        <v>36</v>
      </c>
      <c r="J112" s="7">
        <v>1</v>
      </c>
      <c r="K112" s="7">
        <v>4</v>
      </c>
      <c r="L112" s="7">
        <v>1</v>
      </c>
      <c r="M112" s="10">
        <f t="shared" si="5"/>
        <v>2</v>
      </c>
      <c r="N112" s="11" t="str">
        <f t="shared" si="6"/>
        <v>Poor</v>
      </c>
      <c r="O112" s="8" t="s">
        <v>14</v>
      </c>
    </row>
    <row r="113" spans="1:15" x14ac:dyDescent="0.3">
      <c r="A113" s="7">
        <v>70053</v>
      </c>
      <c r="B113" s="8" t="s">
        <v>17</v>
      </c>
      <c r="C113" s="8" t="s">
        <v>12</v>
      </c>
      <c r="D113" s="8" t="s">
        <v>13</v>
      </c>
      <c r="E113" s="7">
        <v>1015</v>
      </c>
      <c r="F113" s="11" t="str">
        <f t="shared" si="7"/>
        <v>Medium</v>
      </c>
      <c r="G113" s="7">
        <v>0</v>
      </c>
      <c r="H113" s="7">
        <v>0</v>
      </c>
      <c r="I113">
        <f t="shared" si="4"/>
        <v>0</v>
      </c>
      <c r="J113" s="7">
        <v>5</v>
      </c>
      <c r="K113" s="7">
        <v>4</v>
      </c>
      <c r="L113" s="7">
        <v>3</v>
      </c>
      <c r="M113" s="10">
        <f t="shared" si="5"/>
        <v>4</v>
      </c>
      <c r="N113" s="11" t="str">
        <f t="shared" si="6"/>
        <v>Good</v>
      </c>
      <c r="O113" s="8" t="s">
        <v>16</v>
      </c>
    </row>
    <row r="114" spans="1:15" x14ac:dyDescent="0.3">
      <c r="A114" s="7">
        <v>70108</v>
      </c>
      <c r="B114" s="8" t="s">
        <v>17</v>
      </c>
      <c r="C114" s="8" t="s">
        <v>12</v>
      </c>
      <c r="D114" s="8" t="s">
        <v>19</v>
      </c>
      <c r="E114" s="7">
        <v>2404</v>
      </c>
      <c r="F114" s="11" t="str">
        <f t="shared" si="7"/>
        <v>Long</v>
      </c>
      <c r="G114" s="7">
        <v>0</v>
      </c>
      <c r="H114" s="7">
        <v>0</v>
      </c>
      <c r="I114">
        <f t="shared" si="4"/>
        <v>0</v>
      </c>
      <c r="J114" s="7">
        <v>4</v>
      </c>
      <c r="K114" s="7">
        <v>5</v>
      </c>
      <c r="L114" s="7">
        <v>4</v>
      </c>
      <c r="M114" s="10">
        <f t="shared" si="5"/>
        <v>4.333333333333333</v>
      </c>
      <c r="N114" s="11" t="str">
        <f t="shared" si="6"/>
        <v>Good</v>
      </c>
      <c r="O114" s="8" t="s">
        <v>14</v>
      </c>
    </row>
    <row r="115" spans="1:15" x14ac:dyDescent="0.3">
      <c r="A115" s="7">
        <v>70185</v>
      </c>
      <c r="B115" s="8" t="s">
        <v>11</v>
      </c>
      <c r="C115" s="8" t="s">
        <v>18</v>
      </c>
      <c r="D115" s="8" t="s">
        <v>13</v>
      </c>
      <c r="E115" s="7">
        <v>242</v>
      </c>
      <c r="F115" s="11" t="str">
        <f t="shared" si="7"/>
        <v>Short</v>
      </c>
      <c r="G115" s="7">
        <v>0</v>
      </c>
      <c r="H115" s="7">
        <v>2</v>
      </c>
      <c r="I115">
        <f t="shared" si="4"/>
        <v>2</v>
      </c>
      <c r="J115" s="7">
        <v>5</v>
      </c>
      <c r="K115" s="7">
        <v>2</v>
      </c>
      <c r="L115" s="7">
        <v>5</v>
      </c>
      <c r="M115" s="10">
        <f t="shared" si="5"/>
        <v>4</v>
      </c>
      <c r="N115" s="11" t="str">
        <f t="shared" si="6"/>
        <v>Good</v>
      </c>
      <c r="O115" s="8" t="s">
        <v>16</v>
      </c>
    </row>
    <row r="116" spans="1:15" x14ac:dyDescent="0.3">
      <c r="A116" s="7">
        <v>70065</v>
      </c>
      <c r="B116" s="8" t="s">
        <v>17</v>
      </c>
      <c r="C116" s="8" t="s">
        <v>18</v>
      </c>
      <c r="D116" s="8" t="s">
        <v>13</v>
      </c>
      <c r="E116" s="7">
        <v>1339</v>
      </c>
      <c r="F116" s="11" t="str">
        <f t="shared" si="7"/>
        <v>Medium</v>
      </c>
      <c r="G116" s="7">
        <v>0</v>
      </c>
      <c r="H116" s="7">
        <v>8</v>
      </c>
      <c r="I116">
        <f t="shared" si="4"/>
        <v>8</v>
      </c>
      <c r="J116" s="7">
        <v>3</v>
      </c>
      <c r="K116" s="7">
        <v>4</v>
      </c>
      <c r="L116" s="7">
        <v>1</v>
      </c>
      <c r="M116" s="10">
        <f t="shared" si="5"/>
        <v>2.6666666666666665</v>
      </c>
      <c r="N116" s="11" t="str">
        <f t="shared" si="6"/>
        <v>Average</v>
      </c>
      <c r="O116" s="8" t="s">
        <v>16</v>
      </c>
    </row>
    <row r="117" spans="1:15" x14ac:dyDescent="0.3">
      <c r="A117" s="7">
        <v>70000</v>
      </c>
      <c r="B117" s="8" t="s">
        <v>11</v>
      </c>
      <c r="C117" s="8" t="s">
        <v>18</v>
      </c>
      <c r="D117" s="8" t="s">
        <v>15</v>
      </c>
      <c r="E117" s="7">
        <v>2895</v>
      </c>
      <c r="F117" s="11" t="str">
        <f t="shared" si="7"/>
        <v>Long</v>
      </c>
      <c r="G117" s="7">
        <v>90</v>
      </c>
      <c r="H117" s="7">
        <v>67</v>
      </c>
      <c r="I117">
        <f t="shared" si="4"/>
        <v>67</v>
      </c>
      <c r="J117" s="7">
        <v>3</v>
      </c>
      <c r="K117" s="7">
        <v>2</v>
      </c>
      <c r="L117" s="7">
        <v>2</v>
      </c>
      <c r="M117" s="10">
        <f t="shared" si="5"/>
        <v>2.3333333333333335</v>
      </c>
      <c r="N117" s="11" t="str">
        <f t="shared" si="6"/>
        <v>Poor</v>
      </c>
      <c r="O117" s="8" t="s">
        <v>14</v>
      </c>
    </row>
    <row r="118" spans="1:15" x14ac:dyDescent="0.3">
      <c r="A118" s="7">
        <v>70212</v>
      </c>
      <c r="B118" s="8" t="s">
        <v>17</v>
      </c>
      <c r="C118" s="8" t="s">
        <v>12</v>
      </c>
      <c r="D118" s="8" t="s">
        <v>15</v>
      </c>
      <c r="E118" s="7">
        <v>2552</v>
      </c>
      <c r="F118" s="11" t="str">
        <f t="shared" si="7"/>
        <v>Long</v>
      </c>
      <c r="G118" s="7">
        <v>15</v>
      </c>
      <c r="H118" s="7">
        <v>23</v>
      </c>
      <c r="I118">
        <f t="shared" si="4"/>
        <v>23</v>
      </c>
      <c r="J118" s="7">
        <v>2</v>
      </c>
      <c r="K118" s="7">
        <v>2</v>
      </c>
      <c r="L118" s="7">
        <v>2</v>
      </c>
      <c r="M118" s="10">
        <f t="shared" si="5"/>
        <v>2</v>
      </c>
      <c r="N118" s="11" t="str">
        <f t="shared" si="6"/>
        <v>Poor</v>
      </c>
      <c r="O118" s="8" t="s">
        <v>16</v>
      </c>
    </row>
    <row r="119" spans="1:15" x14ac:dyDescent="0.3">
      <c r="A119" s="7">
        <v>70050</v>
      </c>
      <c r="B119" s="8" t="s">
        <v>11</v>
      </c>
      <c r="C119" s="8" t="s">
        <v>18</v>
      </c>
      <c r="D119" s="8" t="s">
        <v>19</v>
      </c>
      <c r="E119" s="7">
        <v>1923</v>
      </c>
      <c r="F119" s="11" t="str">
        <f t="shared" si="7"/>
        <v>Long</v>
      </c>
      <c r="G119" s="7">
        <v>0</v>
      </c>
      <c r="H119" s="7">
        <v>9</v>
      </c>
      <c r="I119">
        <f t="shared" si="4"/>
        <v>9</v>
      </c>
      <c r="J119" s="7">
        <v>4</v>
      </c>
      <c r="K119" s="7">
        <v>3</v>
      </c>
      <c r="L119" s="7">
        <v>3</v>
      </c>
      <c r="M119" s="10">
        <f t="shared" si="5"/>
        <v>3.3333333333333335</v>
      </c>
      <c r="N119" s="11" t="str">
        <f t="shared" si="6"/>
        <v>Average</v>
      </c>
      <c r="O119" s="8" t="s">
        <v>14</v>
      </c>
    </row>
    <row r="120" spans="1:15" x14ac:dyDescent="0.3">
      <c r="A120" s="7">
        <v>70023</v>
      </c>
      <c r="B120" s="8" t="s">
        <v>17</v>
      </c>
      <c r="C120" s="8" t="s">
        <v>18</v>
      </c>
      <c r="D120" s="8" t="s">
        <v>15</v>
      </c>
      <c r="E120" s="7">
        <v>3411</v>
      </c>
      <c r="F120" s="11" t="str">
        <f t="shared" si="7"/>
        <v>Long</v>
      </c>
      <c r="G120" s="7">
        <v>0</v>
      </c>
      <c r="H120" s="7">
        <v>2</v>
      </c>
      <c r="I120">
        <f t="shared" si="4"/>
        <v>2</v>
      </c>
      <c r="J120" s="7">
        <v>3</v>
      </c>
      <c r="K120" s="7">
        <v>2</v>
      </c>
      <c r="L120" s="7">
        <v>3</v>
      </c>
      <c r="M120" s="10">
        <f t="shared" si="5"/>
        <v>2.6666666666666665</v>
      </c>
      <c r="N120" s="11" t="str">
        <f t="shared" si="6"/>
        <v>Average</v>
      </c>
      <c r="O120" s="8" t="s">
        <v>16</v>
      </c>
    </row>
    <row r="121" spans="1:15" x14ac:dyDescent="0.3">
      <c r="A121" s="7">
        <v>70178</v>
      </c>
      <c r="B121" s="8" t="s">
        <v>11</v>
      </c>
      <c r="C121" s="8" t="s">
        <v>12</v>
      </c>
      <c r="D121" s="8" t="s">
        <v>15</v>
      </c>
      <c r="E121" s="7">
        <v>1544</v>
      </c>
      <c r="F121" s="11" t="str">
        <f t="shared" si="7"/>
        <v>Long</v>
      </c>
      <c r="G121" s="7">
        <v>15</v>
      </c>
      <c r="H121" s="7">
        <v>19</v>
      </c>
      <c r="I121">
        <f t="shared" si="4"/>
        <v>19</v>
      </c>
      <c r="J121" s="7">
        <v>3</v>
      </c>
      <c r="K121" s="7">
        <v>3</v>
      </c>
      <c r="L121" s="7">
        <v>1</v>
      </c>
      <c r="M121" s="10">
        <f t="shared" si="5"/>
        <v>2.3333333333333335</v>
      </c>
      <c r="N121" s="11" t="str">
        <f t="shared" si="6"/>
        <v>Poor</v>
      </c>
      <c r="O121" s="8" t="s">
        <v>14</v>
      </c>
    </row>
    <row r="122" spans="1:15" x14ac:dyDescent="0.3">
      <c r="A122" s="7">
        <v>70247</v>
      </c>
      <c r="B122" s="8" t="s">
        <v>17</v>
      </c>
      <c r="C122" s="8" t="s">
        <v>12</v>
      </c>
      <c r="D122" s="8" t="s">
        <v>19</v>
      </c>
      <c r="E122" s="7">
        <v>1736</v>
      </c>
      <c r="F122" s="11" t="str">
        <f t="shared" si="7"/>
        <v>Long</v>
      </c>
      <c r="G122" s="7">
        <v>15</v>
      </c>
      <c r="H122" s="7">
        <v>98</v>
      </c>
      <c r="I122">
        <f t="shared" si="4"/>
        <v>98</v>
      </c>
      <c r="J122" s="7">
        <v>3</v>
      </c>
      <c r="K122" s="7">
        <v>5</v>
      </c>
      <c r="L122" s="7">
        <v>3</v>
      </c>
      <c r="M122" s="10">
        <f t="shared" si="5"/>
        <v>3.6666666666666665</v>
      </c>
      <c r="N122" s="11" t="str">
        <f t="shared" si="6"/>
        <v>Good</v>
      </c>
      <c r="O122" s="8" t="s">
        <v>14</v>
      </c>
    </row>
    <row r="123" spans="1:15" x14ac:dyDescent="0.3">
      <c r="A123" s="7">
        <v>70241</v>
      </c>
      <c r="B123" s="8" t="s">
        <v>11</v>
      </c>
      <c r="C123" s="8" t="s">
        <v>12</v>
      </c>
      <c r="D123" s="8" t="s">
        <v>15</v>
      </c>
      <c r="E123" s="7">
        <v>1790</v>
      </c>
      <c r="F123" s="11" t="str">
        <f t="shared" si="7"/>
        <v>Long</v>
      </c>
      <c r="G123" s="7">
        <v>40</v>
      </c>
      <c r="H123" s="7">
        <v>35</v>
      </c>
      <c r="I123">
        <f t="shared" si="4"/>
        <v>35</v>
      </c>
      <c r="J123" s="7">
        <v>5</v>
      </c>
      <c r="K123" s="7">
        <v>3</v>
      </c>
      <c r="L123" s="7">
        <v>3</v>
      </c>
      <c r="M123" s="10">
        <f t="shared" si="5"/>
        <v>3.6666666666666665</v>
      </c>
      <c r="N123" s="11" t="str">
        <f t="shared" si="6"/>
        <v>Good</v>
      </c>
      <c r="O123" s="8" t="s">
        <v>14</v>
      </c>
    </row>
    <row r="124" spans="1:15" x14ac:dyDescent="0.3">
      <c r="A124" s="7">
        <v>70016</v>
      </c>
      <c r="B124" s="8" t="s">
        <v>17</v>
      </c>
      <c r="C124" s="8" t="s">
        <v>18</v>
      </c>
      <c r="D124" s="8" t="s">
        <v>15</v>
      </c>
      <c r="E124" s="7">
        <v>2055</v>
      </c>
      <c r="F124" s="11" t="str">
        <f t="shared" si="7"/>
        <v>Long</v>
      </c>
      <c r="G124" s="7">
        <v>15</v>
      </c>
      <c r="H124" s="7">
        <v>14</v>
      </c>
      <c r="I124">
        <f t="shared" si="4"/>
        <v>14</v>
      </c>
      <c r="J124" s="7">
        <v>5</v>
      </c>
      <c r="K124" s="7">
        <v>4</v>
      </c>
      <c r="L124" s="7">
        <v>4</v>
      </c>
      <c r="M124" s="10">
        <f t="shared" si="5"/>
        <v>4.333333333333333</v>
      </c>
      <c r="N124" s="11" t="str">
        <f t="shared" si="6"/>
        <v>Good</v>
      </c>
      <c r="O124" s="8" t="s">
        <v>16</v>
      </c>
    </row>
    <row r="125" spans="1:15" x14ac:dyDescent="0.3">
      <c r="A125" s="7">
        <v>70086</v>
      </c>
      <c r="B125" s="8" t="s">
        <v>17</v>
      </c>
      <c r="C125" s="8" t="s">
        <v>12</v>
      </c>
      <c r="D125" s="8" t="s">
        <v>13</v>
      </c>
      <c r="E125" s="7">
        <v>2776</v>
      </c>
      <c r="F125" s="11" t="str">
        <f t="shared" si="7"/>
        <v>Long</v>
      </c>
      <c r="G125" s="7">
        <v>90</v>
      </c>
      <c r="H125" s="7">
        <v>89</v>
      </c>
      <c r="I125">
        <f t="shared" si="4"/>
        <v>89</v>
      </c>
      <c r="J125" s="7">
        <v>3</v>
      </c>
      <c r="K125" s="7">
        <v>5</v>
      </c>
      <c r="L125" s="7">
        <v>1</v>
      </c>
      <c r="M125" s="10">
        <f t="shared" si="5"/>
        <v>3</v>
      </c>
      <c r="N125" s="11" t="str">
        <f t="shared" si="6"/>
        <v>Average</v>
      </c>
      <c r="O125" s="8" t="s">
        <v>16</v>
      </c>
    </row>
    <row r="126" spans="1:15" x14ac:dyDescent="0.3">
      <c r="A126" s="7">
        <v>70206</v>
      </c>
      <c r="B126" s="8" t="s">
        <v>11</v>
      </c>
      <c r="C126" s="8" t="s">
        <v>12</v>
      </c>
      <c r="D126" s="8" t="s">
        <v>13</v>
      </c>
      <c r="E126" s="7">
        <v>2678</v>
      </c>
      <c r="F126" s="11" t="str">
        <f t="shared" si="7"/>
        <v>Long</v>
      </c>
      <c r="G126" s="7">
        <v>90</v>
      </c>
      <c r="H126" s="7">
        <v>85</v>
      </c>
      <c r="I126">
        <f t="shared" si="4"/>
        <v>85</v>
      </c>
      <c r="J126" s="7">
        <v>5</v>
      </c>
      <c r="K126" s="7">
        <v>1</v>
      </c>
      <c r="L126" s="7">
        <v>3</v>
      </c>
      <c r="M126" s="10">
        <f t="shared" si="5"/>
        <v>3</v>
      </c>
      <c r="N126" s="11" t="str">
        <f t="shared" si="6"/>
        <v>Average</v>
      </c>
      <c r="O126" s="8" t="s">
        <v>16</v>
      </c>
    </row>
    <row r="127" spans="1:15" x14ac:dyDescent="0.3">
      <c r="A127" s="7">
        <v>70012</v>
      </c>
      <c r="B127" s="8" t="s">
        <v>11</v>
      </c>
      <c r="C127" s="8" t="s">
        <v>18</v>
      </c>
      <c r="D127" s="8" t="s">
        <v>13</v>
      </c>
      <c r="E127" s="7">
        <v>2230</v>
      </c>
      <c r="F127" s="11" t="str">
        <f t="shared" si="7"/>
        <v>Long</v>
      </c>
      <c r="G127" s="7">
        <v>90</v>
      </c>
      <c r="H127" s="7">
        <v>96</v>
      </c>
      <c r="I127">
        <f t="shared" si="4"/>
        <v>96</v>
      </c>
      <c r="J127" s="7">
        <v>2</v>
      </c>
      <c r="K127" s="7">
        <v>2</v>
      </c>
      <c r="L127" s="7">
        <v>1</v>
      </c>
      <c r="M127" s="10">
        <f t="shared" si="5"/>
        <v>1.6666666666666667</v>
      </c>
      <c r="N127" s="11" t="str">
        <f t="shared" si="6"/>
        <v>Poor</v>
      </c>
      <c r="O127" s="8" t="s">
        <v>16</v>
      </c>
    </row>
    <row r="128" spans="1:15" x14ac:dyDescent="0.3">
      <c r="A128" s="7">
        <v>70096</v>
      </c>
      <c r="B128" s="8" t="s">
        <v>11</v>
      </c>
      <c r="C128" s="8" t="s">
        <v>12</v>
      </c>
      <c r="D128" s="8" t="s">
        <v>13</v>
      </c>
      <c r="E128" s="7">
        <v>1448</v>
      </c>
      <c r="F128" s="11" t="str">
        <f t="shared" si="7"/>
        <v>Medium</v>
      </c>
      <c r="G128" s="7">
        <v>15</v>
      </c>
      <c r="H128" s="7">
        <v>25</v>
      </c>
      <c r="I128">
        <f t="shared" si="4"/>
        <v>25</v>
      </c>
      <c r="J128" s="7">
        <v>5</v>
      </c>
      <c r="K128" s="7">
        <v>5</v>
      </c>
      <c r="L128" s="7">
        <v>5</v>
      </c>
      <c r="M128" s="10">
        <f t="shared" si="5"/>
        <v>5</v>
      </c>
      <c r="N128" s="11" t="str">
        <f t="shared" si="6"/>
        <v>Good</v>
      </c>
      <c r="O128" s="8" t="s">
        <v>16</v>
      </c>
    </row>
    <row r="129" spans="1:15" x14ac:dyDescent="0.3">
      <c r="A129" s="7">
        <v>70081</v>
      </c>
      <c r="B129" s="8" t="s">
        <v>11</v>
      </c>
      <c r="C129" s="8" t="s">
        <v>12</v>
      </c>
      <c r="D129" s="8" t="s">
        <v>19</v>
      </c>
      <c r="E129" s="7">
        <v>1145</v>
      </c>
      <c r="F129" s="11" t="str">
        <f t="shared" si="7"/>
        <v>Medium</v>
      </c>
      <c r="G129" s="7">
        <v>0</v>
      </c>
      <c r="H129" s="7">
        <v>3</v>
      </c>
      <c r="I129">
        <f t="shared" si="4"/>
        <v>3</v>
      </c>
      <c r="J129" s="7">
        <v>4</v>
      </c>
      <c r="K129" s="7">
        <v>2</v>
      </c>
      <c r="L129" s="7">
        <v>2</v>
      </c>
      <c r="M129" s="10">
        <f t="shared" si="5"/>
        <v>2.6666666666666665</v>
      </c>
      <c r="N129" s="11" t="str">
        <f t="shared" si="6"/>
        <v>Average</v>
      </c>
      <c r="O129" s="8" t="s">
        <v>16</v>
      </c>
    </row>
    <row r="130" spans="1:15" x14ac:dyDescent="0.3">
      <c r="A130" s="7">
        <v>70041</v>
      </c>
      <c r="B130" s="8" t="s">
        <v>11</v>
      </c>
      <c r="C130" s="8" t="s">
        <v>12</v>
      </c>
      <c r="D130" s="8" t="s">
        <v>19</v>
      </c>
      <c r="E130" s="7">
        <v>446</v>
      </c>
      <c r="F130" s="11" t="str">
        <f t="shared" si="7"/>
        <v>Short</v>
      </c>
      <c r="G130" s="7">
        <v>5</v>
      </c>
      <c r="H130" s="7">
        <v>15</v>
      </c>
      <c r="I130">
        <f t="shared" ref="I130:I193" si="8">IF(H130="",E130,H130)</f>
        <v>15</v>
      </c>
      <c r="J130" s="7">
        <v>1</v>
      </c>
      <c r="K130" s="7">
        <v>2</v>
      </c>
      <c r="L130" s="7">
        <v>1</v>
      </c>
      <c r="M130" s="10">
        <f t="shared" ref="M130:M193" si="9">IF(COUNT(J130:L130)=0,"",AVERAGE(J130:L130))</f>
        <v>1.3333333333333333</v>
      </c>
      <c r="N130" s="11" t="str">
        <f t="shared" ref="N130:N193" si="10">IF(M130="","",IF(M130&lt;2.5,"Poor",IF(M130&lt;3.5,"Average","Good")))</f>
        <v>Poor</v>
      </c>
      <c r="O130" s="8" t="s">
        <v>14</v>
      </c>
    </row>
    <row r="131" spans="1:15" x14ac:dyDescent="0.3">
      <c r="A131" s="7">
        <v>70043</v>
      </c>
      <c r="B131" s="8" t="s">
        <v>11</v>
      </c>
      <c r="C131" s="8" t="s">
        <v>12</v>
      </c>
      <c r="D131" s="8" t="s">
        <v>13</v>
      </c>
      <c r="E131" s="7">
        <v>3279</v>
      </c>
      <c r="F131" s="11" t="str">
        <f t="shared" ref="F131:F194" si="11">IF(E131="","",IF(E131&lt;500,"Short",IF(E131&lt;=1500,"Medium","Long")))</f>
        <v>Long</v>
      </c>
      <c r="G131" s="7">
        <v>0</v>
      </c>
      <c r="H131" s="7">
        <v>8</v>
      </c>
      <c r="I131">
        <f t="shared" si="8"/>
        <v>8</v>
      </c>
      <c r="J131" s="7">
        <v>5</v>
      </c>
      <c r="K131" s="7">
        <v>4</v>
      </c>
      <c r="L131" s="7">
        <v>4</v>
      </c>
      <c r="M131" s="10">
        <f t="shared" si="9"/>
        <v>4.333333333333333</v>
      </c>
      <c r="N131" s="11" t="str">
        <f t="shared" si="10"/>
        <v>Good</v>
      </c>
      <c r="O131" s="8" t="s">
        <v>16</v>
      </c>
    </row>
    <row r="132" spans="1:15" x14ac:dyDescent="0.3">
      <c r="A132" s="7">
        <v>70194</v>
      </c>
      <c r="B132" s="8" t="s">
        <v>17</v>
      </c>
      <c r="C132" s="8" t="s">
        <v>18</v>
      </c>
      <c r="D132" s="8" t="s">
        <v>19</v>
      </c>
      <c r="E132" s="7">
        <v>3336</v>
      </c>
      <c r="F132" s="11" t="str">
        <f t="shared" si="11"/>
        <v>Long</v>
      </c>
      <c r="G132" s="7">
        <v>0</v>
      </c>
      <c r="H132" s="7">
        <v>7</v>
      </c>
      <c r="I132">
        <f t="shared" si="8"/>
        <v>7</v>
      </c>
      <c r="J132" s="7">
        <v>4</v>
      </c>
      <c r="K132" s="7">
        <v>1</v>
      </c>
      <c r="L132" s="7">
        <v>3</v>
      </c>
      <c r="M132" s="10">
        <f t="shared" si="9"/>
        <v>2.6666666666666665</v>
      </c>
      <c r="N132" s="11" t="str">
        <f t="shared" si="10"/>
        <v>Average</v>
      </c>
      <c r="O132" s="8" t="s">
        <v>14</v>
      </c>
    </row>
    <row r="133" spans="1:15" x14ac:dyDescent="0.3">
      <c r="A133" s="7">
        <v>70138</v>
      </c>
      <c r="B133" s="8" t="s">
        <v>11</v>
      </c>
      <c r="C133" s="8" t="s">
        <v>12</v>
      </c>
      <c r="D133" s="8" t="s">
        <v>15</v>
      </c>
      <c r="E133" s="7">
        <v>1383</v>
      </c>
      <c r="F133" s="11" t="str">
        <f t="shared" si="11"/>
        <v>Medium</v>
      </c>
      <c r="G133" s="7">
        <v>15</v>
      </c>
      <c r="H133" s="7">
        <v>24</v>
      </c>
      <c r="I133">
        <f t="shared" si="8"/>
        <v>24</v>
      </c>
      <c r="J133" s="7">
        <v>5</v>
      </c>
      <c r="K133" s="7">
        <v>3</v>
      </c>
      <c r="L133" s="7">
        <v>2</v>
      </c>
      <c r="M133" s="10">
        <f t="shared" si="9"/>
        <v>3.3333333333333335</v>
      </c>
      <c r="N133" s="11" t="str">
        <f t="shared" si="10"/>
        <v>Average</v>
      </c>
      <c r="O133" s="8" t="s">
        <v>16</v>
      </c>
    </row>
    <row r="134" spans="1:15" x14ac:dyDescent="0.3">
      <c r="A134" s="7">
        <v>70191</v>
      </c>
      <c r="B134" s="8" t="s">
        <v>17</v>
      </c>
      <c r="C134" s="8" t="s">
        <v>18</v>
      </c>
      <c r="D134" s="8" t="s">
        <v>19</v>
      </c>
      <c r="E134" s="7">
        <v>2926</v>
      </c>
      <c r="F134" s="11" t="str">
        <f t="shared" si="11"/>
        <v>Long</v>
      </c>
      <c r="G134" s="7">
        <v>5</v>
      </c>
      <c r="H134" s="7">
        <v>7</v>
      </c>
      <c r="I134">
        <f t="shared" si="8"/>
        <v>7</v>
      </c>
      <c r="J134" s="7">
        <v>1</v>
      </c>
      <c r="K134" s="7">
        <v>3</v>
      </c>
      <c r="L134" s="7">
        <v>4</v>
      </c>
      <c r="M134" s="10">
        <f t="shared" si="9"/>
        <v>2.6666666666666665</v>
      </c>
      <c r="N134" s="11" t="str">
        <f t="shared" si="10"/>
        <v>Average</v>
      </c>
      <c r="O134" s="8" t="s">
        <v>14</v>
      </c>
    </row>
    <row r="135" spans="1:15" x14ac:dyDescent="0.3">
      <c r="A135" s="7">
        <v>70152</v>
      </c>
      <c r="B135" s="8" t="s">
        <v>17</v>
      </c>
      <c r="C135" s="8" t="s">
        <v>18</v>
      </c>
      <c r="D135" s="8" t="s">
        <v>13</v>
      </c>
      <c r="E135" s="7">
        <v>1166</v>
      </c>
      <c r="F135" s="11" t="str">
        <f t="shared" si="11"/>
        <v>Medium</v>
      </c>
      <c r="G135" s="7">
        <v>0</v>
      </c>
      <c r="H135" s="7">
        <v>89</v>
      </c>
      <c r="I135">
        <f t="shared" si="8"/>
        <v>89</v>
      </c>
      <c r="J135" s="7">
        <v>3</v>
      </c>
      <c r="K135" s="7">
        <v>4</v>
      </c>
      <c r="L135" s="7">
        <v>1</v>
      </c>
      <c r="M135" s="10">
        <f t="shared" si="9"/>
        <v>2.6666666666666665</v>
      </c>
      <c r="N135" s="11" t="str">
        <f t="shared" si="10"/>
        <v>Average</v>
      </c>
      <c r="O135" s="8" t="s">
        <v>16</v>
      </c>
    </row>
    <row r="136" spans="1:15" x14ac:dyDescent="0.3">
      <c r="A136" s="7">
        <v>70174</v>
      </c>
      <c r="B136" s="8" t="s">
        <v>17</v>
      </c>
      <c r="C136" s="8" t="s">
        <v>12</v>
      </c>
      <c r="D136" s="8" t="s">
        <v>19</v>
      </c>
      <c r="E136" s="7">
        <v>1796</v>
      </c>
      <c r="F136" s="11" t="str">
        <f t="shared" si="11"/>
        <v>Long</v>
      </c>
      <c r="G136" s="7">
        <v>0</v>
      </c>
      <c r="H136" s="7">
        <v>3</v>
      </c>
      <c r="I136">
        <f t="shared" si="8"/>
        <v>3</v>
      </c>
      <c r="J136" s="7">
        <v>5</v>
      </c>
      <c r="K136" s="7">
        <v>5</v>
      </c>
      <c r="L136" s="7">
        <v>3</v>
      </c>
      <c r="M136" s="10">
        <f t="shared" si="9"/>
        <v>4.333333333333333</v>
      </c>
      <c r="N136" s="11" t="str">
        <f t="shared" si="10"/>
        <v>Good</v>
      </c>
      <c r="O136" s="8" t="s">
        <v>14</v>
      </c>
    </row>
    <row r="137" spans="1:15" x14ac:dyDescent="0.3">
      <c r="A137" s="7">
        <v>70209</v>
      </c>
      <c r="B137" s="8" t="s">
        <v>11</v>
      </c>
      <c r="C137" s="8" t="s">
        <v>18</v>
      </c>
      <c r="D137" s="8" t="s">
        <v>13</v>
      </c>
      <c r="E137" s="7">
        <v>280</v>
      </c>
      <c r="F137" s="11" t="str">
        <f t="shared" si="11"/>
        <v>Short</v>
      </c>
      <c r="G137" s="7">
        <v>5</v>
      </c>
      <c r="H137" s="7">
        <v>1</v>
      </c>
      <c r="I137">
        <f t="shared" si="8"/>
        <v>1</v>
      </c>
      <c r="J137" s="7">
        <v>4</v>
      </c>
      <c r="K137" s="7">
        <v>5</v>
      </c>
      <c r="L137" s="7">
        <v>3</v>
      </c>
      <c r="M137" s="10">
        <f t="shared" si="9"/>
        <v>4</v>
      </c>
      <c r="N137" s="11" t="str">
        <f t="shared" si="10"/>
        <v>Good</v>
      </c>
      <c r="O137" s="8" t="s">
        <v>16</v>
      </c>
    </row>
    <row r="138" spans="1:15" x14ac:dyDescent="0.3">
      <c r="A138" s="7">
        <v>70177</v>
      </c>
      <c r="B138" s="8" t="s">
        <v>11</v>
      </c>
      <c r="C138" s="8" t="s">
        <v>12</v>
      </c>
      <c r="D138" s="8" t="s">
        <v>19</v>
      </c>
      <c r="E138" s="7">
        <v>763</v>
      </c>
      <c r="F138" s="11" t="str">
        <f t="shared" si="11"/>
        <v>Medium</v>
      </c>
      <c r="G138" s="7">
        <v>40</v>
      </c>
      <c r="H138" s="7">
        <v>44</v>
      </c>
      <c r="I138">
        <f t="shared" si="8"/>
        <v>44</v>
      </c>
      <c r="J138" s="7">
        <v>5</v>
      </c>
      <c r="K138" s="7">
        <v>5</v>
      </c>
      <c r="L138" s="7">
        <v>2</v>
      </c>
      <c r="M138" s="10">
        <f t="shared" si="9"/>
        <v>4</v>
      </c>
      <c r="N138" s="11" t="str">
        <f t="shared" si="10"/>
        <v>Good</v>
      </c>
      <c r="O138" s="8" t="s">
        <v>14</v>
      </c>
    </row>
    <row r="139" spans="1:15" x14ac:dyDescent="0.3">
      <c r="A139" s="7">
        <v>70038</v>
      </c>
      <c r="B139" s="8" t="s">
        <v>17</v>
      </c>
      <c r="C139" s="8" t="s">
        <v>12</v>
      </c>
      <c r="D139" s="8" t="s">
        <v>15</v>
      </c>
      <c r="E139" s="7">
        <v>1504</v>
      </c>
      <c r="F139" s="11" t="str">
        <f t="shared" si="11"/>
        <v>Long</v>
      </c>
      <c r="G139" s="7">
        <v>0</v>
      </c>
      <c r="H139" s="7">
        <v>27</v>
      </c>
      <c r="I139">
        <f t="shared" si="8"/>
        <v>27</v>
      </c>
      <c r="J139" s="7">
        <v>5</v>
      </c>
      <c r="K139" s="7">
        <v>1</v>
      </c>
      <c r="L139" s="7">
        <v>2</v>
      </c>
      <c r="M139" s="10">
        <f t="shared" si="9"/>
        <v>2.6666666666666665</v>
      </c>
      <c r="N139" s="11" t="str">
        <f t="shared" si="10"/>
        <v>Average</v>
      </c>
      <c r="O139" s="8" t="s">
        <v>14</v>
      </c>
    </row>
    <row r="140" spans="1:15" x14ac:dyDescent="0.3">
      <c r="A140" s="7">
        <v>70125</v>
      </c>
      <c r="B140" s="8" t="s">
        <v>11</v>
      </c>
      <c r="C140" s="8" t="s">
        <v>18</v>
      </c>
      <c r="D140" s="8" t="s">
        <v>13</v>
      </c>
      <c r="E140" s="7">
        <v>203</v>
      </c>
      <c r="F140" s="11" t="str">
        <f t="shared" si="11"/>
        <v>Short</v>
      </c>
      <c r="G140" s="7">
        <v>5</v>
      </c>
      <c r="H140" s="7">
        <v>2</v>
      </c>
      <c r="I140">
        <f t="shared" si="8"/>
        <v>2</v>
      </c>
      <c r="J140" s="7">
        <v>2</v>
      </c>
      <c r="K140" s="7">
        <v>2</v>
      </c>
      <c r="L140" s="7">
        <v>5</v>
      </c>
      <c r="M140" s="10">
        <f t="shared" si="9"/>
        <v>3</v>
      </c>
      <c r="N140" s="11" t="str">
        <f t="shared" si="10"/>
        <v>Average</v>
      </c>
      <c r="O140" s="8" t="s">
        <v>14</v>
      </c>
    </row>
    <row r="141" spans="1:15" x14ac:dyDescent="0.3">
      <c r="A141" s="7">
        <v>70159</v>
      </c>
      <c r="B141" s="8" t="s">
        <v>17</v>
      </c>
      <c r="C141" s="8" t="s">
        <v>12</v>
      </c>
      <c r="D141" s="8" t="s">
        <v>15</v>
      </c>
      <c r="E141" s="7">
        <v>2203</v>
      </c>
      <c r="F141" s="11" t="str">
        <f t="shared" si="11"/>
        <v>Long</v>
      </c>
      <c r="G141" s="7">
        <v>0</v>
      </c>
      <c r="H141" s="7">
        <v>6</v>
      </c>
      <c r="I141">
        <f t="shared" si="8"/>
        <v>6</v>
      </c>
      <c r="J141" s="7">
        <v>5</v>
      </c>
      <c r="K141" s="7">
        <v>1</v>
      </c>
      <c r="L141" s="7">
        <v>4</v>
      </c>
      <c r="M141" s="10">
        <f t="shared" si="9"/>
        <v>3.3333333333333335</v>
      </c>
      <c r="N141" s="11" t="str">
        <f t="shared" si="10"/>
        <v>Average</v>
      </c>
      <c r="O141" s="8" t="s">
        <v>16</v>
      </c>
    </row>
    <row r="142" spans="1:15" x14ac:dyDescent="0.3">
      <c r="A142" s="7">
        <v>70052</v>
      </c>
      <c r="B142" s="8" t="s">
        <v>11</v>
      </c>
      <c r="C142" s="8" t="s">
        <v>12</v>
      </c>
      <c r="D142" s="8" t="s">
        <v>13</v>
      </c>
      <c r="E142" s="7">
        <v>1252</v>
      </c>
      <c r="F142" s="11" t="str">
        <f t="shared" si="11"/>
        <v>Medium</v>
      </c>
      <c r="G142" s="7">
        <v>15</v>
      </c>
      <c r="H142" s="7">
        <v>20</v>
      </c>
      <c r="I142">
        <f t="shared" si="8"/>
        <v>20</v>
      </c>
      <c r="J142" s="7">
        <v>1</v>
      </c>
      <c r="K142" s="7">
        <v>1</v>
      </c>
      <c r="L142" s="7">
        <v>4</v>
      </c>
      <c r="M142" s="10">
        <f t="shared" si="9"/>
        <v>2</v>
      </c>
      <c r="N142" s="11" t="str">
        <f t="shared" si="10"/>
        <v>Poor</v>
      </c>
      <c r="O142" s="8" t="s">
        <v>14</v>
      </c>
    </row>
    <row r="143" spans="1:15" x14ac:dyDescent="0.3">
      <c r="A143" s="7">
        <v>70165</v>
      </c>
      <c r="B143" s="8" t="s">
        <v>17</v>
      </c>
      <c r="C143" s="8" t="s">
        <v>18</v>
      </c>
      <c r="D143" s="8" t="s">
        <v>15</v>
      </c>
      <c r="E143" s="7">
        <v>2272</v>
      </c>
      <c r="F143" s="11" t="str">
        <f t="shared" si="11"/>
        <v>Long</v>
      </c>
      <c r="G143" s="7">
        <v>0</v>
      </c>
      <c r="H143" s="7">
        <v>0</v>
      </c>
      <c r="I143">
        <f t="shared" si="8"/>
        <v>0</v>
      </c>
      <c r="J143" s="7">
        <v>5</v>
      </c>
      <c r="K143" s="7">
        <v>1</v>
      </c>
      <c r="L143" s="7">
        <v>3</v>
      </c>
      <c r="M143" s="10">
        <f t="shared" si="9"/>
        <v>3</v>
      </c>
      <c r="N143" s="11" t="str">
        <f t="shared" si="10"/>
        <v>Average</v>
      </c>
      <c r="O143" s="8" t="s">
        <v>16</v>
      </c>
    </row>
    <row r="144" spans="1:15" x14ac:dyDescent="0.3">
      <c r="A144" s="7">
        <v>70093</v>
      </c>
      <c r="B144" s="8" t="s">
        <v>17</v>
      </c>
      <c r="C144" s="8" t="s">
        <v>18</v>
      </c>
      <c r="D144" s="8" t="s">
        <v>13</v>
      </c>
      <c r="E144" s="7">
        <v>1223</v>
      </c>
      <c r="F144" s="11" t="str">
        <f t="shared" si="11"/>
        <v>Medium</v>
      </c>
      <c r="G144" s="7">
        <v>15</v>
      </c>
      <c r="H144" s="7">
        <v>17</v>
      </c>
      <c r="I144">
        <f t="shared" si="8"/>
        <v>17</v>
      </c>
      <c r="J144" s="7">
        <v>5</v>
      </c>
      <c r="K144" s="7">
        <v>4</v>
      </c>
      <c r="L144" s="7">
        <v>2</v>
      </c>
      <c r="M144" s="10">
        <f t="shared" si="9"/>
        <v>3.6666666666666665</v>
      </c>
      <c r="N144" s="11" t="str">
        <f t="shared" si="10"/>
        <v>Good</v>
      </c>
      <c r="O144" s="8" t="s">
        <v>14</v>
      </c>
    </row>
    <row r="145" spans="1:15" x14ac:dyDescent="0.3">
      <c r="A145" s="7">
        <v>70001</v>
      </c>
      <c r="B145" s="8" t="s">
        <v>17</v>
      </c>
      <c r="C145" s="8" t="s">
        <v>12</v>
      </c>
      <c r="D145" s="8" t="s">
        <v>15</v>
      </c>
      <c r="E145" s="7">
        <v>2087</v>
      </c>
      <c r="F145" s="11" t="str">
        <f t="shared" si="11"/>
        <v>Long</v>
      </c>
      <c r="G145" s="7">
        <v>0</v>
      </c>
      <c r="H145" s="7">
        <v>0</v>
      </c>
      <c r="I145">
        <f t="shared" si="8"/>
        <v>0</v>
      </c>
      <c r="J145" s="7">
        <v>3</v>
      </c>
      <c r="K145" s="7">
        <v>1</v>
      </c>
      <c r="L145" s="7">
        <v>3</v>
      </c>
      <c r="M145" s="10">
        <f t="shared" si="9"/>
        <v>2.3333333333333335</v>
      </c>
      <c r="N145" s="11" t="str">
        <f t="shared" si="10"/>
        <v>Poor</v>
      </c>
      <c r="O145" s="8" t="s">
        <v>14</v>
      </c>
    </row>
    <row r="146" spans="1:15" x14ac:dyDescent="0.3">
      <c r="A146" s="7">
        <v>70060</v>
      </c>
      <c r="B146" s="8" t="s">
        <v>17</v>
      </c>
      <c r="C146" s="8" t="s">
        <v>12</v>
      </c>
      <c r="D146" s="8" t="s">
        <v>19</v>
      </c>
      <c r="E146" s="7">
        <v>1879</v>
      </c>
      <c r="F146" s="11" t="str">
        <f t="shared" si="11"/>
        <v>Long</v>
      </c>
      <c r="G146" s="7">
        <v>40</v>
      </c>
      <c r="H146" s="7">
        <v>43</v>
      </c>
      <c r="I146">
        <f t="shared" si="8"/>
        <v>43</v>
      </c>
      <c r="J146" s="7">
        <v>1</v>
      </c>
      <c r="K146" s="7">
        <v>5</v>
      </c>
      <c r="L146" s="7">
        <v>5</v>
      </c>
      <c r="M146" s="10">
        <f t="shared" si="9"/>
        <v>3.6666666666666665</v>
      </c>
      <c r="N146" s="11" t="str">
        <f t="shared" si="10"/>
        <v>Good</v>
      </c>
      <c r="O146" s="8" t="s">
        <v>16</v>
      </c>
    </row>
    <row r="147" spans="1:15" x14ac:dyDescent="0.3">
      <c r="A147" s="7">
        <v>70085</v>
      </c>
      <c r="B147" s="8" t="s">
        <v>11</v>
      </c>
      <c r="C147" s="8" t="s">
        <v>12</v>
      </c>
      <c r="D147" s="8" t="s">
        <v>19</v>
      </c>
      <c r="E147" s="7">
        <v>1280</v>
      </c>
      <c r="F147" s="11" t="str">
        <f t="shared" si="11"/>
        <v>Medium</v>
      </c>
      <c r="G147" s="7">
        <v>40</v>
      </c>
      <c r="H147" s="7">
        <v>36</v>
      </c>
      <c r="I147">
        <f t="shared" si="8"/>
        <v>36</v>
      </c>
      <c r="J147" s="7">
        <v>4</v>
      </c>
      <c r="K147" s="7">
        <v>3</v>
      </c>
      <c r="L147" s="7">
        <v>5</v>
      </c>
      <c r="M147" s="10">
        <f t="shared" si="9"/>
        <v>4</v>
      </c>
      <c r="N147" s="11" t="str">
        <f t="shared" si="10"/>
        <v>Good</v>
      </c>
      <c r="O147" s="8" t="s">
        <v>14</v>
      </c>
    </row>
    <row r="148" spans="1:15" x14ac:dyDescent="0.3">
      <c r="A148" s="7">
        <v>70173</v>
      </c>
      <c r="B148" s="8" t="s">
        <v>17</v>
      </c>
      <c r="C148" s="8" t="s">
        <v>18</v>
      </c>
      <c r="D148" s="8" t="s">
        <v>13</v>
      </c>
      <c r="E148" s="7">
        <v>870</v>
      </c>
      <c r="F148" s="11" t="str">
        <f t="shared" si="11"/>
        <v>Medium</v>
      </c>
      <c r="G148" s="7">
        <v>90</v>
      </c>
      <c r="H148" s="7">
        <v>88</v>
      </c>
      <c r="I148">
        <f t="shared" si="8"/>
        <v>88</v>
      </c>
      <c r="J148" s="7">
        <v>1</v>
      </c>
      <c r="K148" s="7">
        <v>5</v>
      </c>
      <c r="L148" s="7">
        <v>5</v>
      </c>
      <c r="M148" s="10">
        <f t="shared" si="9"/>
        <v>3.6666666666666665</v>
      </c>
      <c r="N148" s="11" t="str">
        <f t="shared" si="10"/>
        <v>Good</v>
      </c>
      <c r="O148" s="8" t="s">
        <v>14</v>
      </c>
    </row>
    <row r="149" spans="1:15" x14ac:dyDescent="0.3">
      <c r="A149" s="7">
        <v>70221</v>
      </c>
      <c r="B149" s="8" t="s">
        <v>17</v>
      </c>
      <c r="C149" s="8" t="s">
        <v>18</v>
      </c>
      <c r="D149" s="8" t="s">
        <v>13</v>
      </c>
      <c r="E149" s="7">
        <v>3107</v>
      </c>
      <c r="F149" s="11" t="str">
        <f t="shared" si="11"/>
        <v>Long</v>
      </c>
      <c r="G149" s="7">
        <v>5</v>
      </c>
      <c r="H149" s="7">
        <v>8</v>
      </c>
      <c r="I149">
        <f t="shared" si="8"/>
        <v>8</v>
      </c>
      <c r="J149" s="7">
        <v>4</v>
      </c>
      <c r="K149" s="7">
        <v>1</v>
      </c>
      <c r="L149" s="7">
        <v>4</v>
      </c>
      <c r="M149" s="10">
        <f t="shared" si="9"/>
        <v>3</v>
      </c>
      <c r="N149" s="11" t="str">
        <f t="shared" si="10"/>
        <v>Average</v>
      </c>
      <c r="O149" s="8" t="s">
        <v>16</v>
      </c>
    </row>
    <row r="150" spans="1:15" x14ac:dyDescent="0.3">
      <c r="A150" s="7">
        <v>70193</v>
      </c>
      <c r="B150" s="8" t="s">
        <v>11</v>
      </c>
      <c r="C150" s="8" t="s">
        <v>18</v>
      </c>
      <c r="D150" s="8" t="s">
        <v>19</v>
      </c>
      <c r="E150" s="7">
        <v>2903</v>
      </c>
      <c r="F150" s="11" t="str">
        <f t="shared" si="11"/>
        <v>Long</v>
      </c>
      <c r="G150" s="7">
        <v>90</v>
      </c>
      <c r="H150" s="7">
        <v>89</v>
      </c>
      <c r="I150">
        <f t="shared" si="8"/>
        <v>89</v>
      </c>
      <c r="J150" s="7">
        <v>5</v>
      </c>
      <c r="K150" s="7">
        <v>2</v>
      </c>
      <c r="L150" s="7">
        <v>4</v>
      </c>
      <c r="M150" s="10">
        <f t="shared" si="9"/>
        <v>3.6666666666666665</v>
      </c>
      <c r="N150" s="11" t="str">
        <f t="shared" si="10"/>
        <v>Good</v>
      </c>
      <c r="O150" s="8" t="s">
        <v>14</v>
      </c>
    </row>
    <row r="151" spans="1:15" x14ac:dyDescent="0.3">
      <c r="A151" s="7">
        <v>70098</v>
      </c>
      <c r="B151" s="8" t="s">
        <v>11</v>
      </c>
      <c r="C151" s="8" t="s">
        <v>12</v>
      </c>
      <c r="D151" s="8" t="s">
        <v>15</v>
      </c>
      <c r="E151" s="7">
        <v>3427</v>
      </c>
      <c r="F151" s="11" t="str">
        <f t="shared" si="11"/>
        <v>Long</v>
      </c>
      <c r="G151" s="7">
        <v>5</v>
      </c>
      <c r="H151" s="7">
        <v>14</v>
      </c>
      <c r="I151">
        <f t="shared" si="8"/>
        <v>14</v>
      </c>
      <c r="J151" s="7">
        <v>4</v>
      </c>
      <c r="K151" s="7">
        <v>3</v>
      </c>
      <c r="L151" s="7">
        <v>5</v>
      </c>
      <c r="M151" s="10">
        <f t="shared" si="9"/>
        <v>4</v>
      </c>
      <c r="N151" s="11" t="str">
        <f t="shared" si="10"/>
        <v>Good</v>
      </c>
      <c r="O151" s="8" t="s">
        <v>16</v>
      </c>
    </row>
    <row r="152" spans="1:15" x14ac:dyDescent="0.3">
      <c r="A152" s="7">
        <v>70076</v>
      </c>
      <c r="B152" s="8" t="s">
        <v>17</v>
      </c>
      <c r="C152" s="8" t="s">
        <v>12</v>
      </c>
      <c r="D152" s="8" t="s">
        <v>19</v>
      </c>
      <c r="E152" s="7">
        <v>3189</v>
      </c>
      <c r="F152" s="11" t="str">
        <f t="shared" si="11"/>
        <v>Long</v>
      </c>
      <c r="G152" s="7">
        <v>15</v>
      </c>
      <c r="H152" s="7">
        <v>15</v>
      </c>
      <c r="I152">
        <f t="shared" si="8"/>
        <v>15</v>
      </c>
      <c r="J152" s="7">
        <v>2</v>
      </c>
      <c r="K152" s="7">
        <v>2</v>
      </c>
      <c r="L152" s="7">
        <v>2</v>
      </c>
      <c r="M152" s="10">
        <f t="shared" si="9"/>
        <v>2</v>
      </c>
      <c r="N152" s="11" t="str">
        <f t="shared" si="10"/>
        <v>Poor</v>
      </c>
      <c r="O152" s="8" t="s">
        <v>16</v>
      </c>
    </row>
    <row r="153" spans="1:15" x14ac:dyDescent="0.3">
      <c r="A153" s="7">
        <v>70198</v>
      </c>
      <c r="B153" s="8" t="s">
        <v>17</v>
      </c>
      <c r="C153" s="8" t="s">
        <v>12</v>
      </c>
      <c r="D153" s="8" t="s">
        <v>13</v>
      </c>
      <c r="E153" s="7">
        <v>784</v>
      </c>
      <c r="F153" s="11" t="str">
        <f t="shared" si="11"/>
        <v>Medium</v>
      </c>
      <c r="G153" s="7">
        <v>0</v>
      </c>
      <c r="H153" s="7">
        <v>10</v>
      </c>
      <c r="I153">
        <f t="shared" si="8"/>
        <v>10</v>
      </c>
      <c r="J153" s="7">
        <v>4</v>
      </c>
      <c r="K153" s="7">
        <v>2</v>
      </c>
      <c r="L153" s="7">
        <v>4</v>
      </c>
      <c r="M153" s="10">
        <f t="shared" si="9"/>
        <v>3.3333333333333335</v>
      </c>
      <c r="N153" s="11" t="str">
        <f t="shared" si="10"/>
        <v>Average</v>
      </c>
      <c r="O153" s="8" t="s">
        <v>14</v>
      </c>
    </row>
    <row r="154" spans="1:15" x14ac:dyDescent="0.3">
      <c r="A154" s="7">
        <v>70217</v>
      </c>
      <c r="B154" s="8" t="s">
        <v>11</v>
      </c>
      <c r="C154" s="8" t="s">
        <v>18</v>
      </c>
      <c r="D154" s="8" t="s">
        <v>15</v>
      </c>
      <c r="E154" s="7">
        <v>1876</v>
      </c>
      <c r="F154" s="11" t="str">
        <f t="shared" si="11"/>
        <v>Long</v>
      </c>
      <c r="G154" s="7">
        <v>5</v>
      </c>
      <c r="H154" s="7">
        <v>0</v>
      </c>
      <c r="I154">
        <f t="shared" si="8"/>
        <v>0</v>
      </c>
      <c r="J154" s="7">
        <v>1</v>
      </c>
      <c r="K154" s="7">
        <v>3</v>
      </c>
      <c r="L154" s="7">
        <v>4</v>
      </c>
      <c r="M154" s="10">
        <f t="shared" si="9"/>
        <v>2.6666666666666665</v>
      </c>
      <c r="N154" s="11" t="str">
        <f t="shared" si="10"/>
        <v>Average</v>
      </c>
      <c r="O154" s="8" t="s">
        <v>16</v>
      </c>
    </row>
    <row r="155" spans="1:15" x14ac:dyDescent="0.3">
      <c r="A155" s="7">
        <v>70112</v>
      </c>
      <c r="B155" s="8" t="s">
        <v>17</v>
      </c>
      <c r="C155" s="8" t="s">
        <v>12</v>
      </c>
      <c r="D155" s="8" t="s">
        <v>15</v>
      </c>
      <c r="E155" s="7">
        <v>3374</v>
      </c>
      <c r="F155" s="11" t="str">
        <f t="shared" si="11"/>
        <v>Long</v>
      </c>
      <c r="G155" s="7">
        <v>15</v>
      </c>
      <c r="H155" s="7">
        <v>13</v>
      </c>
      <c r="I155">
        <f t="shared" si="8"/>
        <v>13</v>
      </c>
      <c r="J155" s="7">
        <v>5</v>
      </c>
      <c r="K155" s="7">
        <v>4</v>
      </c>
      <c r="L155" s="7">
        <v>2</v>
      </c>
      <c r="M155" s="10">
        <f t="shared" si="9"/>
        <v>3.6666666666666665</v>
      </c>
      <c r="N155" s="11" t="str">
        <f t="shared" si="10"/>
        <v>Good</v>
      </c>
      <c r="O155" s="8" t="s">
        <v>16</v>
      </c>
    </row>
    <row r="156" spans="1:15" x14ac:dyDescent="0.3">
      <c r="A156" s="7">
        <v>70186</v>
      </c>
      <c r="B156" s="8" t="s">
        <v>17</v>
      </c>
      <c r="C156" s="8" t="s">
        <v>12</v>
      </c>
      <c r="D156" s="8" t="s">
        <v>19</v>
      </c>
      <c r="E156" s="7">
        <v>696</v>
      </c>
      <c r="F156" s="11" t="str">
        <f t="shared" si="11"/>
        <v>Medium</v>
      </c>
      <c r="G156" s="7">
        <v>5</v>
      </c>
      <c r="H156" s="7">
        <v>7</v>
      </c>
      <c r="I156">
        <f t="shared" si="8"/>
        <v>7</v>
      </c>
      <c r="J156" s="7">
        <v>4</v>
      </c>
      <c r="K156" s="7">
        <v>1</v>
      </c>
      <c r="L156" s="7">
        <v>5</v>
      </c>
      <c r="M156" s="10">
        <f t="shared" si="9"/>
        <v>3.3333333333333335</v>
      </c>
      <c r="N156" s="11" t="str">
        <f t="shared" si="10"/>
        <v>Average</v>
      </c>
      <c r="O156" s="8" t="s">
        <v>16</v>
      </c>
    </row>
    <row r="157" spans="1:15" x14ac:dyDescent="0.3">
      <c r="A157" s="7">
        <v>70214</v>
      </c>
      <c r="B157" s="8" t="s">
        <v>11</v>
      </c>
      <c r="C157" s="8" t="s">
        <v>12</v>
      </c>
      <c r="D157" s="8" t="s">
        <v>13</v>
      </c>
      <c r="E157" s="7">
        <v>345</v>
      </c>
      <c r="F157" s="11" t="str">
        <f t="shared" si="11"/>
        <v>Short</v>
      </c>
      <c r="G157" s="7">
        <v>40</v>
      </c>
      <c r="H157" s="7">
        <v>41</v>
      </c>
      <c r="I157">
        <f t="shared" si="8"/>
        <v>41</v>
      </c>
      <c r="J157" s="7">
        <v>3</v>
      </c>
      <c r="K157" s="7">
        <v>4</v>
      </c>
      <c r="L157" s="7">
        <v>5</v>
      </c>
      <c r="M157" s="10">
        <f t="shared" si="9"/>
        <v>4</v>
      </c>
      <c r="N157" s="11" t="str">
        <f t="shared" si="10"/>
        <v>Good</v>
      </c>
      <c r="O157" s="8" t="s">
        <v>16</v>
      </c>
    </row>
    <row r="158" spans="1:15" x14ac:dyDescent="0.3">
      <c r="A158" s="7">
        <v>70078</v>
      </c>
      <c r="B158" s="8" t="s">
        <v>11</v>
      </c>
      <c r="C158" s="8" t="s">
        <v>18</v>
      </c>
      <c r="D158" s="8" t="s">
        <v>15</v>
      </c>
      <c r="E158" s="7">
        <v>289</v>
      </c>
      <c r="F158" s="11" t="str">
        <f t="shared" si="11"/>
        <v>Short</v>
      </c>
      <c r="G158" s="7">
        <v>0</v>
      </c>
      <c r="H158" s="7">
        <v>2</v>
      </c>
      <c r="I158">
        <f t="shared" si="8"/>
        <v>2</v>
      </c>
      <c r="J158" s="7">
        <v>2</v>
      </c>
      <c r="K158" s="7">
        <v>3</v>
      </c>
      <c r="L158" s="7">
        <v>4</v>
      </c>
      <c r="M158" s="10">
        <f t="shared" si="9"/>
        <v>3</v>
      </c>
      <c r="N158" s="11" t="str">
        <f t="shared" si="10"/>
        <v>Average</v>
      </c>
      <c r="O158" s="8" t="s">
        <v>16</v>
      </c>
    </row>
    <row r="159" spans="1:15" x14ac:dyDescent="0.3">
      <c r="A159" s="7">
        <v>70011</v>
      </c>
      <c r="B159" s="8" t="s">
        <v>17</v>
      </c>
      <c r="C159" s="8" t="s">
        <v>12</v>
      </c>
      <c r="D159" s="8" t="s">
        <v>19</v>
      </c>
      <c r="E159" s="7">
        <v>2520</v>
      </c>
      <c r="F159" s="11" t="str">
        <f t="shared" si="11"/>
        <v>Long</v>
      </c>
      <c r="G159" s="7">
        <v>0</v>
      </c>
      <c r="H159" s="7">
        <v>8</v>
      </c>
      <c r="I159">
        <f t="shared" si="8"/>
        <v>8</v>
      </c>
      <c r="J159" s="7">
        <v>2</v>
      </c>
      <c r="K159" s="7">
        <v>4</v>
      </c>
      <c r="L159" s="7">
        <v>2</v>
      </c>
      <c r="M159" s="10">
        <f t="shared" si="9"/>
        <v>2.6666666666666665</v>
      </c>
      <c r="N159" s="11" t="str">
        <f t="shared" si="10"/>
        <v>Average</v>
      </c>
      <c r="O159" s="8" t="s">
        <v>16</v>
      </c>
    </row>
    <row r="160" spans="1:15" x14ac:dyDescent="0.3">
      <c r="A160" s="7">
        <v>70097</v>
      </c>
      <c r="B160" s="8" t="s">
        <v>11</v>
      </c>
      <c r="C160" s="8" t="s">
        <v>18</v>
      </c>
      <c r="D160" s="8" t="s">
        <v>19</v>
      </c>
      <c r="E160" s="7">
        <v>242</v>
      </c>
      <c r="F160" s="11" t="str">
        <f t="shared" si="11"/>
        <v>Short</v>
      </c>
      <c r="G160" s="7">
        <v>0</v>
      </c>
      <c r="H160" s="7">
        <v>6</v>
      </c>
      <c r="I160">
        <f t="shared" si="8"/>
        <v>6</v>
      </c>
      <c r="J160" s="7">
        <v>5</v>
      </c>
      <c r="K160" s="7">
        <v>4</v>
      </c>
      <c r="L160" s="7">
        <v>5</v>
      </c>
      <c r="M160" s="10">
        <f t="shared" si="9"/>
        <v>4.666666666666667</v>
      </c>
      <c r="N160" s="11" t="str">
        <f t="shared" si="10"/>
        <v>Good</v>
      </c>
      <c r="O160" s="8" t="s">
        <v>16</v>
      </c>
    </row>
    <row r="161" spans="1:15" x14ac:dyDescent="0.3">
      <c r="A161" s="7">
        <v>70240</v>
      </c>
      <c r="B161" s="8" t="s">
        <v>11</v>
      </c>
      <c r="C161" s="8" t="s">
        <v>18</v>
      </c>
      <c r="D161" s="8" t="s">
        <v>13</v>
      </c>
      <c r="E161" s="7">
        <v>1162</v>
      </c>
      <c r="F161" s="11" t="str">
        <f t="shared" si="11"/>
        <v>Medium</v>
      </c>
      <c r="G161" s="7">
        <v>90</v>
      </c>
      <c r="H161" s="7">
        <v>89</v>
      </c>
      <c r="I161">
        <f t="shared" si="8"/>
        <v>89</v>
      </c>
      <c r="J161" s="7">
        <v>4</v>
      </c>
      <c r="K161" s="7">
        <v>2</v>
      </c>
      <c r="L161" s="7">
        <v>4</v>
      </c>
      <c r="M161" s="10">
        <f t="shared" si="9"/>
        <v>3.3333333333333335</v>
      </c>
      <c r="N161" s="11" t="str">
        <f t="shared" si="10"/>
        <v>Average</v>
      </c>
      <c r="O161" s="8" t="s">
        <v>14</v>
      </c>
    </row>
    <row r="162" spans="1:15" x14ac:dyDescent="0.3">
      <c r="A162" s="7">
        <v>70066</v>
      </c>
      <c r="B162" s="8" t="s">
        <v>11</v>
      </c>
      <c r="C162" s="8" t="s">
        <v>18</v>
      </c>
      <c r="D162" s="8" t="s">
        <v>13</v>
      </c>
      <c r="E162" s="7">
        <v>3219</v>
      </c>
      <c r="F162" s="11" t="str">
        <f t="shared" si="11"/>
        <v>Long</v>
      </c>
      <c r="G162" s="7">
        <v>0</v>
      </c>
      <c r="H162" s="7">
        <v>6</v>
      </c>
      <c r="I162">
        <f t="shared" si="8"/>
        <v>6</v>
      </c>
      <c r="J162" s="7">
        <v>1</v>
      </c>
      <c r="K162" s="7">
        <v>2</v>
      </c>
      <c r="L162" s="7">
        <v>1</v>
      </c>
      <c r="M162" s="10">
        <f t="shared" si="9"/>
        <v>1.3333333333333333</v>
      </c>
      <c r="N162" s="11" t="str">
        <f t="shared" si="10"/>
        <v>Poor</v>
      </c>
      <c r="O162" s="8" t="s">
        <v>14</v>
      </c>
    </row>
    <row r="163" spans="1:15" x14ac:dyDescent="0.3">
      <c r="A163" s="7">
        <v>70057</v>
      </c>
      <c r="B163" s="8" t="s">
        <v>17</v>
      </c>
      <c r="C163" s="8" t="s">
        <v>18</v>
      </c>
      <c r="D163" s="8" t="s">
        <v>13</v>
      </c>
      <c r="E163" s="7">
        <v>2348</v>
      </c>
      <c r="F163" s="11" t="str">
        <f t="shared" si="11"/>
        <v>Long</v>
      </c>
      <c r="G163" s="7">
        <v>40</v>
      </c>
      <c r="H163" s="7">
        <v>45</v>
      </c>
      <c r="I163">
        <f t="shared" si="8"/>
        <v>45</v>
      </c>
      <c r="J163" s="7">
        <v>5</v>
      </c>
      <c r="K163" s="7">
        <v>4</v>
      </c>
      <c r="L163" s="7">
        <v>3</v>
      </c>
      <c r="M163" s="10">
        <f t="shared" si="9"/>
        <v>4</v>
      </c>
      <c r="N163" s="11" t="str">
        <f t="shared" si="10"/>
        <v>Good</v>
      </c>
      <c r="O163" s="8" t="s">
        <v>14</v>
      </c>
    </row>
    <row r="164" spans="1:15" x14ac:dyDescent="0.3">
      <c r="A164" s="7">
        <v>70211</v>
      </c>
      <c r="B164" s="8" t="s">
        <v>11</v>
      </c>
      <c r="C164" s="8" t="s">
        <v>12</v>
      </c>
      <c r="D164" s="8" t="s">
        <v>15</v>
      </c>
      <c r="E164" s="7">
        <v>790</v>
      </c>
      <c r="F164" s="11" t="str">
        <f t="shared" si="11"/>
        <v>Medium</v>
      </c>
      <c r="G164" s="7">
        <v>90</v>
      </c>
      <c r="H164" s="7">
        <v>93</v>
      </c>
      <c r="I164">
        <f t="shared" si="8"/>
        <v>93</v>
      </c>
      <c r="J164" s="7">
        <v>5</v>
      </c>
      <c r="K164" s="7">
        <v>4</v>
      </c>
      <c r="L164" s="7">
        <v>1</v>
      </c>
      <c r="M164" s="10">
        <f t="shared" si="9"/>
        <v>3.3333333333333335</v>
      </c>
      <c r="N164" s="11" t="str">
        <f t="shared" si="10"/>
        <v>Average</v>
      </c>
      <c r="O164" s="8" t="s">
        <v>16</v>
      </c>
    </row>
    <row r="165" spans="1:15" x14ac:dyDescent="0.3">
      <c r="A165" s="7">
        <v>70111</v>
      </c>
      <c r="B165" s="8" t="s">
        <v>17</v>
      </c>
      <c r="C165" s="8" t="s">
        <v>12</v>
      </c>
      <c r="D165" s="8" t="s">
        <v>15</v>
      </c>
      <c r="E165" s="7">
        <v>1201</v>
      </c>
      <c r="F165" s="11" t="str">
        <f t="shared" si="11"/>
        <v>Medium</v>
      </c>
      <c r="G165" s="7">
        <v>40</v>
      </c>
      <c r="H165" s="7">
        <v>45</v>
      </c>
      <c r="I165">
        <f t="shared" si="8"/>
        <v>45</v>
      </c>
      <c r="J165" s="7">
        <v>5</v>
      </c>
      <c r="K165" s="7">
        <v>3</v>
      </c>
      <c r="L165" s="7">
        <v>4</v>
      </c>
      <c r="M165" s="10">
        <f t="shared" si="9"/>
        <v>4</v>
      </c>
      <c r="N165" s="11" t="str">
        <f t="shared" si="10"/>
        <v>Good</v>
      </c>
      <c r="O165" s="8" t="s">
        <v>16</v>
      </c>
    </row>
    <row r="166" spans="1:15" x14ac:dyDescent="0.3">
      <c r="A166" s="7">
        <v>70008</v>
      </c>
      <c r="B166" s="8" t="s">
        <v>11</v>
      </c>
      <c r="C166" s="8" t="s">
        <v>12</v>
      </c>
      <c r="D166" s="8" t="s">
        <v>19</v>
      </c>
      <c r="E166" s="7">
        <v>662</v>
      </c>
      <c r="F166" s="11" t="str">
        <f t="shared" si="11"/>
        <v>Medium</v>
      </c>
      <c r="G166" s="7">
        <v>15</v>
      </c>
      <c r="H166" s="7">
        <v>17</v>
      </c>
      <c r="I166">
        <f t="shared" si="8"/>
        <v>17</v>
      </c>
      <c r="J166" s="7">
        <v>1</v>
      </c>
      <c r="K166" s="7">
        <v>4</v>
      </c>
      <c r="L166" s="7">
        <v>3</v>
      </c>
      <c r="M166" s="10">
        <f t="shared" si="9"/>
        <v>2.6666666666666665</v>
      </c>
      <c r="N166" s="11" t="str">
        <f t="shared" si="10"/>
        <v>Average</v>
      </c>
      <c r="O166" s="8" t="s">
        <v>14</v>
      </c>
    </row>
    <row r="167" spans="1:15" x14ac:dyDescent="0.3">
      <c r="A167" s="7">
        <v>70088</v>
      </c>
      <c r="B167" s="8" t="s">
        <v>11</v>
      </c>
      <c r="C167" s="8" t="s">
        <v>18</v>
      </c>
      <c r="D167" s="8" t="s">
        <v>15</v>
      </c>
      <c r="E167" s="7">
        <v>2769</v>
      </c>
      <c r="F167" s="11" t="str">
        <f t="shared" si="11"/>
        <v>Long</v>
      </c>
      <c r="G167" s="7">
        <v>15</v>
      </c>
      <c r="H167" s="7">
        <v>16</v>
      </c>
      <c r="I167">
        <f t="shared" si="8"/>
        <v>16</v>
      </c>
      <c r="J167" s="7">
        <v>4</v>
      </c>
      <c r="K167" s="7">
        <v>5</v>
      </c>
      <c r="L167" s="7">
        <v>1</v>
      </c>
      <c r="M167" s="10">
        <f t="shared" si="9"/>
        <v>3.3333333333333335</v>
      </c>
      <c r="N167" s="11" t="str">
        <f t="shared" si="10"/>
        <v>Average</v>
      </c>
      <c r="O167" s="8" t="s">
        <v>14</v>
      </c>
    </row>
    <row r="168" spans="1:15" x14ac:dyDescent="0.3">
      <c r="A168" s="7">
        <v>70245</v>
      </c>
      <c r="B168" s="8" t="s">
        <v>11</v>
      </c>
      <c r="C168" s="8" t="s">
        <v>12</v>
      </c>
      <c r="D168" s="8" t="s">
        <v>15</v>
      </c>
      <c r="E168" s="7">
        <v>3309</v>
      </c>
      <c r="F168" s="11" t="str">
        <f t="shared" si="11"/>
        <v>Long</v>
      </c>
      <c r="G168" s="7">
        <v>5</v>
      </c>
      <c r="H168" s="7">
        <v>9</v>
      </c>
      <c r="I168">
        <f t="shared" si="8"/>
        <v>9</v>
      </c>
      <c r="J168" s="7">
        <v>2</v>
      </c>
      <c r="K168" s="7">
        <v>1</v>
      </c>
      <c r="L168" s="7">
        <v>2</v>
      </c>
      <c r="M168" s="10">
        <f t="shared" si="9"/>
        <v>1.6666666666666667</v>
      </c>
      <c r="N168" s="11" t="str">
        <f t="shared" si="10"/>
        <v>Poor</v>
      </c>
      <c r="O168" s="8" t="s">
        <v>16</v>
      </c>
    </row>
    <row r="169" spans="1:15" x14ac:dyDescent="0.3">
      <c r="A169" s="7">
        <v>70095</v>
      </c>
      <c r="B169" s="8" t="s">
        <v>17</v>
      </c>
      <c r="C169" s="8" t="s">
        <v>12</v>
      </c>
      <c r="D169" s="8" t="s">
        <v>15</v>
      </c>
      <c r="E169" s="7">
        <v>987</v>
      </c>
      <c r="F169" s="11" t="str">
        <f t="shared" si="11"/>
        <v>Medium</v>
      </c>
      <c r="G169" s="7">
        <v>5</v>
      </c>
      <c r="H169" s="7">
        <v>6</v>
      </c>
      <c r="I169">
        <f t="shared" si="8"/>
        <v>6</v>
      </c>
      <c r="J169" s="7">
        <v>1</v>
      </c>
      <c r="K169" s="7">
        <v>5</v>
      </c>
      <c r="L169" s="7">
        <v>2</v>
      </c>
      <c r="M169" s="10">
        <f t="shared" si="9"/>
        <v>2.6666666666666665</v>
      </c>
      <c r="N169" s="11" t="str">
        <f t="shared" si="10"/>
        <v>Average</v>
      </c>
      <c r="O169" s="8" t="s">
        <v>16</v>
      </c>
    </row>
    <row r="170" spans="1:15" x14ac:dyDescent="0.3">
      <c r="A170" s="7">
        <v>70136</v>
      </c>
      <c r="B170" s="8" t="s">
        <v>17</v>
      </c>
      <c r="C170" s="8" t="s">
        <v>12</v>
      </c>
      <c r="D170" s="8" t="s">
        <v>13</v>
      </c>
      <c r="E170" s="7">
        <v>288</v>
      </c>
      <c r="F170" s="11" t="str">
        <f t="shared" si="11"/>
        <v>Short</v>
      </c>
      <c r="G170" s="7">
        <v>15</v>
      </c>
      <c r="H170" s="7">
        <v>10</v>
      </c>
      <c r="I170">
        <f t="shared" si="8"/>
        <v>10</v>
      </c>
      <c r="J170" s="7">
        <v>5</v>
      </c>
      <c r="K170" s="7">
        <v>5</v>
      </c>
      <c r="L170" s="7">
        <v>4</v>
      </c>
      <c r="M170" s="10">
        <f t="shared" si="9"/>
        <v>4.666666666666667</v>
      </c>
      <c r="N170" s="11" t="str">
        <f t="shared" si="10"/>
        <v>Good</v>
      </c>
      <c r="O170" s="8" t="s">
        <v>14</v>
      </c>
    </row>
    <row r="171" spans="1:15" x14ac:dyDescent="0.3">
      <c r="A171" s="7">
        <v>70196</v>
      </c>
      <c r="B171" s="8" t="s">
        <v>17</v>
      </c>
      <c r="C171" s="8" t="s">
        <v>18</v>
      </c>
      <c r="D171" s="8" t="s">
        <v>13</v>
      </c>
      <c r="E171" s="7">
        <v>1524</v>
      </c>
      <c r="F171" s="11" t="str">
        <f t="shared" si="11"/>
        <v>Long</v>
      </c>
      <c r="G171" s="7">
        <v>90</v>
      </c>
      <c r="H171" s="7">
        <v>90</v>
      </c>
      <c r="I171">
        <f t="shared" si="8"/>
        <v>90</v>
      </c>
      <c r="J171" s="7">
        <v>3</v>
      </c>
      <c r="K171" s="7">
        <v>5</v>
      </c>
      <c r="L171" s="7">
        <v>3</v>
      </c>
      <c r="M171" s="10">
        <f t="shared" si="9"/>
        <v>3.6666666666666665</v>
      </c>
      <c r="N171" s="11" t="str">
        <f t="shared" si="10"/>
        <v>Good</v>
      </c>
      <c r="O171" s="8" t="s">
        <v>14</v>
      </c>
    </row>
    <row r="172" spans="1:15" x14ac:dyDescent="0.3">
      <c r="A172" s="7">
        <v>70167</v>
      </c>
      <c r="B172" s="8" t="s">
        <v>17</v>
      </c>
      <c r="C172" s="8" t="s">
        <v>18</v>
      </c>
      <c r="D172" s="8" t="s">
        <v>19</v>
      </c>
      <c r="E172" s="7">
        <v>1873</v>
      </c>
      <c r="F172" s="11" t="str">
        <f t="shared" si="11"/>
        <v>Long</v>
      </c>
      <c r="G172" s="7">
        <v>90</v>
      </c>
      <c r="H172" s="7">
        <v>95</v>
      </c>
      <c r="I172">
        <f t="shared" si="8"/>
        <v>95</v>
      </c>
      <c r="J172" s="7">
        <v>2</v>
      </c>
      <c r="K172" s="7">
        <v>3</v>
      </c>
      <c r="L172" s="7">
        <v>2</v>
      </c>
      <c r="M172" s="10">
        <f t="shared" si="9"/>
        <v>2.3333333333333335</v>
      </c>
      <c r="N172" s="11" t="str">
        <f t="shared" si="10"/>
        <v>Poor</v>
      </c>
      <c r="O172" s="8" t="s">
        <v>16</v>
      </c>
    </row>
    <row r="173" spans="1:15" x14ac:dyDescent="0.3">
      <c r="A173" s="7">
        <v>70183</v>
      </c>
      <c r="B173" s="8" t="s">
        <v>11</v>
      </c>
      <c r="C173" s="8" t="s">
        <v>12</v>
      </c>
      <c r="D173" s="8" t="s">
        <v>15</v>
      </c>
      <c r="E173" s="7">
        <v>1105</v>
      </c>
      <c r="F173" s="11" t="str">
        <f t="shared" si="11"/>
        <v>Medium</v>
      </c>
      <c r="G173" s="7">
        <v>40</v>
      </c>
      <c r="H173" s="7">
        <v>46</v>
      </c>
      <c r="I173">
        <f t="shared" si="8"/>
        <v>46</v>
      </c>
      <c r="J173" s="7">
        <v>1</v>
      </c>
      <c r="K173" s="7">
        <v>3</v>
      </c>
      <c r="L173" s="7">
        <v>5</v>
      </c>
      <c r="M173" s="10">
        <f t="shared" si="9"/>
        <v>3</v>
      </c>
      <c r="N173" s="11" t="str">
        <f t="shared" si="10"/>
        <v>Average</v>
      </c>
      <c r="O173" s="8" t="s">
        <v>14</v>
      </c>
    </row>
    <row r="174" spans="1:15" x14ac:dyDescent="0.3">
      <c r="A174" s="7">
        <v>70223</v>
      </c>
      <c r="B174" s="8" t="s">
        <v>11</v>
      </c>
      <c r="C174" s="8" t="s">
        <v>18</v>
      </c>
      <c r="D174" s="8" t="s">
        <v>19</v>
      </c>
      <c r="E174" s="7">
        <v>3311</v>
      </c>
      <c r="F174" s="11" t="str">
        <f t="shared" si="11"/>
        <v>Long</v>
      </c>
      <c r="G174" s="7">
        <v>0</v>
      </c>
      <c r="H174" s="7">
        <v>4</v>
      </c>
      <c r="I174">
        <f t="shared" si="8"/>
        <v>4</v>
      </c>
      <c r="J174" s="7">
        <v>3</v>
      </c>
      <c r="K174" s="7">
        <v>2</v>
      </c>
      <c r="L174" s="7">
        <v>2</v>
      </c>
      <c r="M174" s="10">
        <f t="shared" si="9"/>
        <v>2.3333333333333335</v>
      </c>
      <c r="N174" s="11" t="str">
        <f t="shared" si="10"/>
        <v>Poor</v>
      </c>
      <c r="O174" s="8" t="s">
        <v>14</v>
      </c>
    </row>
    <row r="175" spans="1:15" x14ac:dyDescent="0.3">
      <c r="A175" s="7">
        <v>70182</v>
      </c>
      <c r="B175" s="8" t="s">
        <v>17</v>
      </c>
      <c r="C175" s="8" t="s">
        <v>18</v>
      </c>
      <c r="D175" s="8" t="s">
        <v>15</v>
      </c>
      <c r="E175" s="7">
        <v>2563</v>
      </c>
      <c r="F175" s="11" t="str">
        <f t="shared" si="11"/>
        <v>Long</v>
      </c>
      <c r="G175" s="7">
        <v>15</v>
      </c>
      <c r="H175" s="7">
        <v>11</v>
      </c>
      <c r="I175">
        <f t="shared" si="8"/>
        <v>11</v>
      </c>
      <c r="J175" s="7">
        <v>3</v>
      </c>
      <c r="K175" s="7">
        <v>3</v>
      </c>
      <c r="L175" s="7">
        <v>2</v>
      </c>
      <c r="M175" s="10">
        <f t="shared" si="9"/>
        <v>2.6666666666666665</v>
      </c>
      <c r="N175" s="11" t="str">
        <f t="shared" si="10"/>
        <v>Average</v>
      </c>
      <c r="O175" s="8" t="s">
        <v>14</v>
      </c>
    </row>
    <row r="176" spans="1:15" x14ac:dyDescent="0.3">
      <c r="A176" s="7">
        <v>70089</v>
      </c>
      <c r="B176" s="8" t="s">
        <v>11</v>
      </c>
      <c r="C176" s="8" t="s">
        <v>18</v>
      </c>
      <c r="D176" s="8" t="s">
        <v>13</v>
      </c>
      <c r="E176" s="7">
        <v>688</v>
      </c>
      <c r="F176" s="11" t="str">
        <f t="shared" si="11"/>
        <v>Medium</v>
      </c>
      <c r="G176" s="7">
        <v>0</v>
      </c>
      <c r="H176" s="7">
        <v>9</v>
      </c>
      <c r="I176">
        <f t="shared" si="8"/>
        <v>9</v>
      </c>
      <c r="J176" s="7">
        <v>5</v>
      </c>
      <c r="K176" s="7">
        <v>1</v>
      </c>
      <c r="L176" s="7">
        <v>2</v>
      </c>
      <c r="M176" s="10">
        <f t="shared" si="9"/>
        <v>2.6666666666666665</v>
      </c>
      <c r="N176" s="11" t="str">
        <f t="shared" si="10"/>
        <v>Average</v>
      </c>
      <c r="O176" s="8" t="s">
        <v>16</v>
      </c>
    </row>
    <row r="177" spans="1:15" x14ac:dyDescent="0.3">
      <c r="A177" s="7">
        <v>70216</v>
      </c>
      <c r="B177" s="8" t="s">
        <v>11</v>
      </c>
      <c r="C177" s="8" t="s">
        <v>18</v>
      </c>
      <c r="D177" s="8" t="s">
        <v>19</v>
      </c>
      <c r="E177" s="7">
        <v>330</v>
      </c>
      <c r="F177" s="11" t="str">
        <f t="shared" si="11"/>
        <v>Short</v>
      </c>
      <c r="G177" s="7">
        <v>0</v>
      </c>
      <c r="H177" s="7">
        <v>5</v>
      </c>
      <c r="I177">
        <f t="shared" si="8"/>
        <v>5</v>
      </c>
      <c r="J177" s="7">
        <v>2</v>
      </c>
      <c r="K177" s="7">
        <v>4</v>
      </c>
      <c r="L177" s="7">
        <v>4</v>
      </c>
      <c r="M177" s="10">
        <f t="shared" si="9"/>
        <v>3.3333333333333335</v>
      </c>
      <c r="N177" s="11" t="str">
        <f t="shared" si="10"/>
        <v>Average</v>
      </c>
      <c r="O177" s="8" t="s">
        <v>16</v>
      </c>
    </row>
    <row r="178" spans="1:15" x14ac:dyDescent="0.3">
      <c r="A178" s="7">
        <v>70195</v>
      </c>
      <c r="B178" s="8" t="s">
        <v>17</v>
      </c>
      <c r="C178" s="8" t="s">
        <v>12</v>
      </c>
      <c r="D178" s="8" t="s">
        <v>13</v>
      </c>
      <c r="E178" s="7">
        <v>1244</v>
      </c>
      <c r="F178" s="11" t="str">
        <f t="shared" si="11"/>
        <v>Medium</v>
      </c>
      <c r="G178" s="7">
        <v>0</v>
      </c>
      <c r="H178" s="7">
        <v>3</v>
      </c>
      <c r="I178">
        <f t="shared" si="8"/>
        <v>3</v>
      </c>
      <c r="J178" s="7">
        <v>1</v>
      </c>
      <c r="K178" s="7">
        <v>4</v>
      </c>
      <c r="L178" s="7">
        <v>1</v>
      </c>
      <c r="M178" s="10">
        <f t="shared" si="9"/>
        <v>2</v>
      </c>
      <c r="N178" s="11" t="str">
        <f t="shared" si="10"/>
        <v>Poor</v>
      </c>
      <c r="O178" s="8" t="s">
        <v>16</v>
      </c>
    </row>
    <row r="179" spans="1:15" x14ac:dyDescent="0.3">
      <c r="A179" s="7">
        <v>70215</v>
      </c>
      <c r="B179" s="8" t="s">
        <v>11</v>
      </c>
      <c r="C179" s="8" t="s">
        <v>18</v>
      </c>
      <c r="D179" s="8" t="s">
        <v>19</v>
      </c>
      <c r="E179" s="7">
        <v>2145</v>
      </c>
      <c r="F179" s="11" t="str">
        <f t="shared" si="11"/>
        <v>Long</v>
      </c>
      <c r="G179" s="7">
        <v>0</v>
      </c>
      <c r="H179" s="7">
        <v>0</v>
      </c>
      <c r="I179">
        <f t="shared" si="8"/>
        <v>0</v>
      </c>
      <c r="J179" s="7">
        <v>2</v>
      </c>
      <c r="K179" s="7">
        <v>5</v>
      </c>
      <c r="L179" s="7">
        <v>4</v>
      </c>
      <c r="M179" s="10">
        <f t="shared" si="9"/>
        <v>3.6666666666666665</v>
      </c>
      <c r="N179" s="11" t="str">
        <f t="shared" si="10"/>
        <v>Good</v>
      </c>
      <c r="O179" s="8" t="s">
        <v>14</v>
      </c>
    </row>
    <row r="180" spans="1:15" x14ac:dyDescent="0.3">
      <c r="A180" s="7">
        <v>70145</v>
      </c>
      <c r="B180" s="8" t="s">
        <v>17</v>
      </c>
      <c r="C180" s="8" t="s">
        <v>12</v>
      </c>
      <c r="D180" s="8" t="s">
        <v>15</v>
      </c>
      <c r="E180" s="7">
        <v>617</v>
      </c>
      <c r="F180" s="11" t="str">
        <f t="shared" si="11"/>
        <v>Medium</v>
      </c>
      <c r="G180" s="7">
        <v>90</v>
      </c>
      <c r="H180" s="7">
        <v>96</v>
      </c>
      <c r="I180">
        <f t="shared" si="8"/>
        <v>96</v>
      </c>
      <c r="J180" s="7">
        <v>2</v>
      </c>
      <c r="K180" s="7">
        <v>1</v>
      </c>
      <c r="L180" s="7">
        <v>3</v>
      </c>
      <c r="M180" s="10">
        <f t="shared" si="9"/>
        <v>2</v>
      </c>
      <c r="N180" s="11" t="str">
        <f t="shared" si="10"/>
        <v>Poor</v>
      </c>
      <c r="O180" s="8" t="s">
        <v>14</v>
      </c>
    </row>
    <row r="181" spans="1:15" x14ac:dyDescent="0.3">
      <c r="A181" s="7">
        <v>70190</v>
      </c>
      <c r="B181" s="8" t="s">
        <v>11</v>
      </c>
      <c r="C181" s="8" t="s">
        <v>18</v>
      </c>
      <c r="D181" s="8" t="s">
        <v>15</v>
      </c>
      <c r="E181" s="7">
        <v>3084</v>
      </c>
      <c r="F181" s="11" t="str">
        <f t="shared" si="11"/>
        <v>Long</v>
      </c>
      <c r="G181" s="7">
        <v>0</v>
      </c>
      <c r="H181" s="7">
        <v>0</v>
      </c>
      <c r="I181">
        <f t="shared" si="8"/>
        <v>0</v>
      </c>
      <c r="J181" s="7">
        <v>3</v>
      </c>
      <c r="K181" s="7">
        <v>5</v>
      </c>
      <c r="L181" s="7">
        <v>3</v>
      </c>
      <c r="M181" s="10">
        <f t="shared" si="9"/>
        <v>3.6666666666666665</v>
      </c>
      <c r="N181" s="11" t="str">
        <f t="shared" si="10"/>
        <v>Good</v>
      </c>
      <c r="O181" s="8" t="s">
        <v>16</v>
      </c>
    </row>
    <row r="182" spans="1:15" x14ac:dyDescent="0.3">
      <c r="A182" s="7">
        <v>70051</v>
      </c>
      <c r="B182" s="8" t="s">
        <v>17</v>
      </c>
      <c r="C182" s="8" t="s">
        <v>12</v>
      </c>
      <c r="D182" s="8" t="s">
        <v>15</v>
      </c>
      <c r="E182" s="7">
        <v>2629</v>
      </c>
      <c r="F182" s="11" t="str">
        <f t="shared" si="11"/>
        <v>Long</v>
      </c>
      <c r="G182" s="7">
        <v>5</v>
      </c>
      <c r="H182" s="7">
        <v>14</v>
      </c>
      <c r="I182">
        <f t="shared" si="8"/>
        <v>14</v>
      </c>
      <c r="J182" s="7">
        <v>3</v>
      </c>
      <c r="K182" s="7">
        <v>1</v>
      </c>
      <c r="L182" s="7">
        <v>4</v>
      </c>
      <c r="M182" s="10">
        <f t="shared" si="9"/>
        <v>2.6666666666666665</v>
      </c>
      <c r="N182" s="11" t="str">
        <f t="shared" si="10"/>
        <v>Average</v>
      </c>
      <c r="O182" s="8" t="s">
        <v>16</v>
      </c>
    </row>
    <row r="183" spans="1:15" x14ac:dyDescent="0.3">
      <c r="A183" s="7">
        <v>70199</v>
      </c>
      <c r="B183" s="8" t="s">
        <v>17</v>
      </c>
      <c r="C183" s="8" t="s">
        <v>18</v>
      </c>
      <c r="D183" s="8" t="s">
        <v>13</v>
      </c>
      <c r="E183" s="7">
        <v>2056</v>
      </c>
      <c r="F183" s="11" t="str">
        <f t="shared" si="11"/>
        <v>Long</v>
      </c>
      <c r="G183" s="7">
        <v>5</v>
      </c>
      <c r="H183" s="7">
        <v>3</v>
      </c>
      <c r="I183">
        <f t="shared" si="8"/>
        <v>3</v>
      </c>
      <c r="J183" s="7">
        <v>5</v>
      </c>
      <c r="K183" s="7">
        <v>5</v>
      </c>
      <c r="L183" s="7">
        <v>2</v>
      </c>
      <c r="M183" s="10">
        <f t="shared" si="9"/>
        <v>4</v>
      </c>
      <c r="N183" s="11" t="str">
        <f t="shared" si="10"/>
        <v>Good</v>
      </c>
      <c r="O183" s="8" t="s">
        <v>16</v>
      </c>
    </row>
    <row r="184" spans="1:15" x14ac:dyDescent="0.3">
      <c r="A184" s="7">
        <v>70184</v>
      </c>
      <c r="B184" s="8" t="s">
        <v>11</v>
      </c>
      <c r="C184" s="8" t="s">
        <v>18</v>
      </c>
      <c r="D184" s="8" t="s">
        <v>15</v>
      </c>
      <c r="E184" s="7">
        <v>3349</v>
      </c>
      <c r="F184" s="11" t="str">
        <f t="shared" si="11"/>
        <v>Long</v>
      </c>
      <c r="G184" s="7">
        <v>15</v>
      </c>
      <c r="H184" s="7">
        <v>20</v>
      </c>
      <c r="I184">
        <f t="shared" si="8"/>
        <v>20</v>
      </c>
      <c r="J184" s="7">
        <v>2</v>
      </c>
      <c r="K184" s="7">
        <v>2</v>
      </c>
      <c r="L184" s="7">
        <v>4</v>
      </c>
      <c r="M184" s="10">
        <f t="shared" si="9"/>
        <v>2.6666666666666665</v>
      </c>
      <c r="N184" s="11" t="str">
        <f t="shared" si="10"/>
        <v>Average</v>
      </c>
      <c r="O184" s="8" t="s">
        <v>14</v>
      </c>
    </row>
    <row r="185" spans="1:15" x14ac:dyDescent="0.3">
      <c r="A185" s="7">
        <v>70007</v>
      </c>
      <c r="B185" s="8" t="s">
        <v>11</v>
      </c>
      <c r="C185" s="8" t="s">
        <v>12</v>
      </c>
      <c r="D185" s="8" t="s">
        <v>19</v>
      </c>
      <c r="E185" s="7">
        <v>3314</v>
      </c>
      <c r="F185" s="11" t="str">
        <f t="shared" si="11"/>
        <v>Long</v>
      </c>
      <c r="G185" s="7">
        <v>5</v>
      </c>
      <c r="H185" s="7">
        <v>12</v>
      </c>
      <c r="I185">
        <f t="shared" si="8"/>
        <v>12</v>
      </c>
      <c r="J185" s="7">
        <v>5</v>
      </c>
      <c r="K185" s="7">
        <v>2</v>
      </c>
      <c r="L185" s="7">
        <v>3</v>
      </c>
      <c r="M185" s="10">
        <f t="shared" si="9"/>
        <v>3.3333333333333335</v>
      </c>
      <c r="N185" s="11" t="str">
        <f t="shared" si="10"/>
        <v>Average</v>
      </c>
      <c r="O185" s="8" t="s">
        <v>14</v>
      </c>
    </row>
    <row r="186" spans="1:15" x14ac:dyDescent="0.3">
      <c r="A186" s="7">
        <v>70117</v>
      </c>
      <c r="B186" s="8" t="s">
        <v>11</v>
      </c>
      <c r="C186" s="8" t="s">
        <v>12</v>
      </c>
      <c r="D186" s="8" t="s">
        <v>15</v>
      </c>
      <c r="E186" s="7">
        <v>2869</v>
      </c>
      <c r="F186" s="11" t="str">
        <f t="shared" si="11"/>
        <v>Long</v>
      </c>
      <c r="G186" s="7">
        <v>40</v>
      </c>
      <c r="H186" s="7">
        <v>40</v>
      </c>
      <c r="I186">
        <f t="shared" si="8"/>
        <v>40</v>
      </c>
      <c r="J186" s="7">
        <v>5</v>
      </c>
      <c r="K186" s="7">
        <v>2</v>
      </c>
      <c r="L186" s="7">
        <v>1</v>
      </c>
      <c r="M186" s="10">
        <f t="shared" si="9"/>
        <v>2.6666666666666665</v>
      </c>
      <c r="N186" s="11" t="str">
        <f t="shared" si="10"/>
        <v>Average</v>
      </c>
      <c r="O186" s="8" t="s">
        <v>16</v>
      </c>
    </row>
    <row r="187" spans="1:15" x14ac:dyDescent="0.3">
      <c r="A187" s="7">
        <v>70036</v>
      </c>
      <c r="B187" s="8" t="s">
        <v>11</v>
      </c>
      <c r="C187" s="8" t="s">
        <v>12</v>
      </c>
      <c r="D187" s="8" t="s">
        <v>13</v>
      </c>
      <c r="E187" s="7">
        <v>1100</v>
      </c>
      <c r="F187" s="11" t="str">
        <f t="shared" si="11"/>
        <v>Medium</v>
      </c>
      <c r="G187" s="7">
        <v>90</v>
      </c>
      <c r="H187" s="7">
        <v>97</v>
      </c>
      <c r="I187">
        <f t="shared" si="8"/>
        <v>97</v>
      </c>
      <c r="J187" s="7">
        <v>2</v>
      </c>
      <c r="K187" s="7">
        <v>4</v>
      </c>
      <c r="L187" s="7">
        <v>1</v>
      </c>
      <c r="M187" s="10">
        <f t="shared" si="9"/>
        <v>2.3333333333333335</v>
      </c>
      <c r="N187" s="11" t="str">
        <f t="shared" si="10"/>
        <v>Poor</v>
      </c>
      <c r="O187" s="8" t="s">
        <v>16</v>
      </c>
    </row>
    <row r="188" spans="1:15" x14ac:dyDescent="0.3">
      <c r="A188" s="7">
        <v>70133</v>
      </c>
      <c r="B188" s="8" t="s">
        <v>11</v>
      </c>
      <c r="C188" s="8" t="s">
        <v>12</v>
      </c>
      <c r="D188" s="8" t="s">
        <v>13</v>
      </c>
      <c r="E188" s="7">
        <v>1606</v>
      </c>
      <c r="F188" s="11" t="str">
        <f t="shared" si="11"/>
        <v>Long</v>
      </c>
      <c r="G188" s="7">
        <v>40</v>
      </c>
      <c r="H188" s="7">
        <v>45</v>
      </c>
      <c r="I188">
        <f t="shared" si="8"/>
        <v>45</v>
      </c>
      <c r="J188" s="7">
        <v>2</v>
      </c>
      <c r="K188" s="7">
        <v>5</v>
      </c>
      <c r="L188" s="7">
        <v>3</v>
      </c>
      <c r="M188" s="10">
        <f t="shared" si="9"/>
        <v>3.3333333333333335</v>
      </c>
      <c r="N188" s="11" t="str">
        <f t="shared" si="10"/>
        <v>Average</v>
      </c>
      <c r="O188" s="8" t="s">
        <v>14</v>
      </c>
    </row>
    <row r="189" spans="1:15" x14ac:dyDescent="0.3">
      <c r="A189" s="7">
        <v>70062</v>
      </c>
      <c r="B189" s="8" t="s">
        <v>17</v>
      </c>
      <c r="C189" s="8" t="s">
        <v>18</v>
      </c>
      <c r="D189" s="8" t="s">
        <v>15</v>
      </c>
      <c r="E189" s="7">
        <v>608</v>
      </c>
      <c r="F189" s="11" t="str">
        <f t="shared" si="11"/>
        <v>Medium</v>
      </c>
      <c r="G189" s="7">
        <v>90</v>
      </c>
      <c r="H189" s="7">
        <v>92</v>
      </c>
      <c r="I189">
        <f t="shared" si="8"/>
        <v>92</v>
      </c>
      <c r="J189" s="7">
        <v>2</v>
      </c>
      <c r="K189" s="7">
        <v>1</v>
      </c>
      <c r="L189" s="7">
        <v>1</v>
      </c>
      <c r="M189" s="10">
        <f t="shared" si="9"/>
        <v>1.3333333333333333</v>
      </c>
      <c r="N189" s="11" t="str">
        <f t="shared" si="10"/>
        <v>Poor</v>
      </c>
      <c r="O189" s="8" t="s">
        <v>14</v>
      </c>
    </row>
    <row r="190" spans="1:15" x14ac:dyDescent="0.3">
      <c r="A190" s="7">
        <v>70226</v>
      </c>
      <c r="B190" s="8" t="s">
        <v>11</v>
      </c>
      <c r="C190" s="8" t="s">
        <v>12</v>
      </c>
      <c r="D190" s="8" t="s">
        <v>13</v>
      </c>
      <c r="E190" s="7">
        <v>1923</v>
      </c>
      <c r="F190" s="11" t="str">
        <f t="shared" si="11"/>
        <v>Long</v>
      </c>
      <c r="G190" s="7">
        <v>0</v>
      </c>
      <c r="H190" s="7">
        <v>6</v>
      </c>
      <c r="I190">
        <f t="shared" si="8"/>
        <v>6</v>
      </c>
      <c r="J190" s="7">
        <v>3</v>
      </c>
      <c r="K190" s="7">
        <v>1</v>
      </c>
      <c r="L190" s="7">
        <v>2</v>
      </c>
      <c r="M190" s="10">
        <f t="shared" si="9"/>
        <v>2</v>
      </c>
      <c r="N190" s="11" t="str">
        <f t="shared" si="10"/>
        <v>Poor</v>
      </c>
      <c r="O190" s="8" t="s">
        <v>14</v>
      </c>
    </row>
    <row r="191" spans="1:15" x14ac:dyDescent="0.3">
      <c r="A191" s="7">
        <v>70032</v>
      </c>
      <c r="B191" s="8" t="s">
        <v>17</v>
      </c>
      <c r="C191" s="8" t="s">
        <v>12</v>
      </c>
      <c r="D191" s="8" t="s">
        <v>15</v>
      </c>
      <c r="E191" s="7">
        <v>2494</v>
      </c>
      <c r="F191" s="11" t="str">
        <f t="shared" si="11"/>
        <v>Long</v>
      </c>
      <c r="G191" s="7">
        <v>0</v>
      </c>
      <c r="H191" s="7">
        <v>0</v>
      </c>
      <c r="I191">
        <f t="shared" si="8"/>
        <v>0</v>
      </c>
      <c r="J191" s="7">
        <v>2</v>
      </c>
      <c r="K191" s="7">
        <v>2</v>
      </c>
      <c r="L191" s="7">
        <v>3</v>
      </c>
      <c r="M191" s="10">
        <f t="shared" si="9"/>
        <v>2.3333333333333335</v>
      </c>
      <c r="N191" s="11" t="str">
        <f t="shared" si="10"/>
        <v>Poor</v>
      </c>
      <c r="O191" s="8" t="s">
        <v>16</v>
      </c>
    </row>
    <row r="192" spans="1:15" x14ac:dyDescent="0.3">
      <c r="A192" s="7">
        <v>70021</v>
      </c>
      <c r="B192" s="8" t="s">
        <v>17</v>
      </c>
      <c r="C192" s="8" t="s">
        <v>18</v>
      </c>
      <c r="D192" s="8" t="s">
        <v>15</v>
      </c>
      <c r="E192" s="7">
        <v>2367</v>
      </c>
      <c r="F192" s="11" t="str">
        <f t="shared" si="11"/>
        <v>Long</v>
      </c>
      <c r="G192" s="7">
        <v>0</v>
      </c>
      <c r="H192" s="7">
        <v>0</v>
      </c>
      <c r="I192">
        <f t="shared" si="8"/>
        <v>0</v>
      </c>
      <c r="J192" s="7">
        <v>4</v>
      </c>
      <c r="K192" s="7">
        <v>2</v>
      </c>
      <c r="L192" s="7">
        <v>1</v>
      </c>
      <c r="M192" s="10">
        <f t="shared" si="9"/>
        <v>2.3333333333333335</v>
      </c>
      <c r="N192" s="11" t="str">
        <f t="shared" si="10"/>
        <v>Poor</v>
      </c>
      <c r="O192" s="8" t="s">
        <v>14</v>
      </c>
    </row>
    <row r="193" spans="1:15" x14ac:dyDescent="0.3">
      <c r="A193" s="7">
        <v>70013</v>
      </c>
      <c r="B193" s="8" t="s">
        <v>11</v>
      </c>
      <c r="C193" s="8" t="s">
        <v>12</v>
      </c>
      <c r="D193" s="8" t="s">
        <v>13</v>
      </c>
      <c r="E193" s="7">
        <v>2481</v>
      </c>
      <c r="F193" s="11" t="str">
        <f t="shared" si="11"/>
        <v>Long</v>
      </c>
      <c r="G193" s="7">
        <v>15</v>
      </c>
      <c r="H193" s="7">
        <v>18</v>
      </c>
      <c r="I193">
        <f t="shared" si="8"/>
        <v>18</v>
      </c>
      <c r="J193" s="7">
        <v>3</v>
      </c>
      <c r="K193" s="7">
        <v>2</v>
      </c>
      <c r="L193" s="7">
        <v>2</v>
      </c>
      <c r="M193" s="10">
        <f t="shared" si="9"/>
        <v>2.3333333333333335</v>
      </c>
      <c r="N193" s="11" t="str">
        <f t="shared" si="10"/>
        <v>Poor</v>
      </c>
      <c r="O193" s="8" t="s">
        <v>14</v>
      </c>
    </row>
    <row r="194" spans="1:15" x14ac:dyDescent="0.3">
      <c r="A194" s="7">
        <v>70006</v>
      </c>
      <c r="B194" s="8" t="s">
        <v>17</v>
      </c>
      <c r="C194" s="8" t="s">
        <v>18</v>
      </c>
      <c r="D194" s="8" t="s">
        <v>19</v>
      </c>
      <c r="E194" s="7">
        <v>1715</v>
      </c>
      <c r="F194" s="11" t="str">
        <f t="shared" si="11"/>
        <v>Long</v>
      </c>
      <c r="G194" s="7">
        <v>5</v>
      </c>
      <c r="H194" s="7">
        <v>0</v>
      </c>
      <c r="I194">
        <f t="shared" ref="I194:I251" si="12">IF(H194="",E194,H194)</f>
        <v>0</v>
      </c>
      <c r="J194" s="7">
        <v>5</v>
      </c>
      <c r="K194" s="7">
        <v>1</v>
      </c>
      <c r="L194" s="7">
        <v>5</v>
      </c>
      <c r="M194" s="10">
        <f t="shared" ref="M194:M251" si="13">IF(COUNT(J194:L194)=0,"",AVERAGE(J194:L194))</f>
        <v>3.6666666666666665</v>
      </c>
      <c r="N194" s="11" t="str">
        <f t="shared" ref="N194:N251" si="14">IF(M194="","",IF(M194&lt;2.5,"Poor",IF(M194&lt;3.5,"Average","Good")))</f>
        <v>Good</v>
      </c>
      <c r="O194" s="8" t="s">
        <v>16</v>
      </c>
    </row>
    <row r="195" spans="1:15" x14ac:dyDescent="0.3">
      <c r="A195" s="7">
        <v>70104</v>
      </c>
      <c r="B195" s="8" t="s">
        <v>17</v>
      </c>
      <c r="C195" s="8" t="s">
        <v>18</v>
      </c>
      <c r="D195" s="8" t="s">
        <v>19</v>
      </c>
      <c r="E195" s="7">
        <v>2920</v>
      </c>
      <c r="F195" s="11" t="str">
        <f t="shared" ref="F195:F251" si="15">IF(E195="","",IF(E195&lt;500,"Short",IF(E195&lt;=1500,"Medium","Long")))</f>
        <v>Long</v>
      </c>
      <c r="G195" s="7">
        <v>0</v>
      </c>
      <c r="H195" s="7">
        <v>0</v>
      </c>
      <c r="I195">
        <f t="shared" si="12"/>
        <v>0</v>
      </c>
      <c r="J195" s="7">
        <v>1</v>
      </c>
      <c r="K195" s="7">
        <v>4</v>
      </c>
      <c r="L195" s="7">
        <v>4</v>
      </c>
      <c r="M195" s="10">
        <f t="shared" si="13"/>
        <v>3</v>
      </c>
      <c r="N195" s="11" t="str">
        <f t="shared" si="14"/>
        <v>Average</v>
      </c>
      <c r="O195" s="8" t="s">
        <v>14</v>
      </c>
    </row>
    <row r="196" spans="1:15" x14ac:dyDescent="0.3">
      <c r="A196" s="7">
        <v>70109</v>
      </c>
      <c r="B196" s="8" t="s">
        <v>11</v>
      </c>
      <c r="C196" s="8" t="s">
        <v>12</v>
      </c>
      <c r="D196" s="8" t="s">
        <v>15</v>
      </c>
      <c r="E196" s="7">
        <v>625</v>
      </c>
      <c r="F196" s="11" t="str">
        <f t="shared" si="15"/>
        <v>Medium</v>
      </c>
      <c r="G196" s="7">
        <v>5</v>
      </c>
      <c r="H196" s="7">
        <v>3</v>
      </c>
      <c r="I196">
        <f t="shared" si="12"/>
        <v>3</v>
      </c>
      <c r="J196" s="7">
        <v>5</v>
      </c>
      <c r="K196" s="7">
        <v>3</v>
      </c>
      <c r="L196" s="7">
        <v>3</v>
      </c>
      <c r="M196" s="10">
        <f t="shared" si="13"/>
        <v>3.6666666666666665</v>
      </c>
      <c r="N196" s="11" t="str">
        <f t="shared" si="14"/>
        <v>Good</v>
      </c>
      <c r="O196" s="8" t="s">
        <v>14</v>
      </c>
    </row>
    <row r="197" spans="1:15" x14ac:dyDescent="0.3">
      <c r="A197" s="7">
        <v>70014</v>
      </c>
      <c r="B197" s="8" t="s">
        <v>17</v>
      </c>
      <c r="C197" s="8" t="s">
        <v>12</v>
      </c>
      <c r="D197" s="8" t="s">
        <v>19</v>
      </c>
      <c r="E197" s="7">
        <v>2270</v>
      </c>
      <c r="F197" s="11" t="str">
        <f t="shared" si="15"/>
        <v>Long</v>
      </c>
      <c r="G197" s="7">
        <v>0</v>
      </c>
      <c r="H197" s="7">
        <v>9</v>
      </c>
      <c r="I197">
        <f t="shared" si="12"/>
        <v>9</v>
      </c>
      <c r="J197" s="7">
        <v>3</v>
      </c>
      <c r="K197" s="7">
        <v>3</v>
      </c>
      <c r="L197" s="7">
        <v>4</v>
      </c>
      <c r="M197" s="10">
        <f t="shared" si="13"/>
        <v>3.3333333333333335</v>
      </c>
      <c r="N197" s="11" t="str">
        <f t="shared" si="14"/>
        <v>Average</v>
      </c>
      <c r="O197" s="8" t="s">
        <v>14</v>
      </c>
    </row>
    <row r="198" spans="1:15" x14ac:dyDescent="0.3">
      <c r="A198" s="7">
        <v>70237</v>
      </c>
      <c r="B198" s="8" t="s">
        <v>11</v>
      </c>
      <c r="C198" s="8" t="s">
        <v>12</v>
      </c>
      <c r="D198" s="8" t="s">
        <v>13</v>
      </c>
      <c r="E198" s="7">
        <v>3318</v>
      </c>
      <c r="F198" s="11" t="str">
        <f t="shared" si="15"/>
        <v>Long</v>
      </c>
      <c r="G198" s="7">
        <v>0</v>
      </c>
      <c r="H198" s="7">
        <v>1</v>
      </c>
      <c r="I198">
        <f t="shared" si="12"/>
        <v>1</v>
      </c>
      <c r="J198" s="7">
        <v>1</v>
      </c>
      <c r="K198" s="7">
        <v>1</v>
      </c>
      <c r="L198" s="7">
        <v>1</v>
      </c>
      <c r="M198" s="10">
        <f t="shared" si="13"/>
        <v>1</v>
      </c>
      <c r="N198" s="11" t="str">
        <f t="shared" si="14"/>
        <v>Poor</v>
      </c>
      <c r="O198" s="8" t="s">
        <v>14</v>
      </c>
    </row>
    <row r="199" spans="1:15" x14ac:dyDescent="0.3">
      <c r="A199" s="7">
        <v>70044</v>
      </c>
      <c r="B199" s="8" t="s">
        <v>17</v>
      </c>
      <c r="C199" s="8" t="s">
        <v>12</v>
      </c>
      <c r="D199" s="8" t="s">
        <v>15</v>
      </c>
      <c r="E199" s="7">
        <v>1083</v>
      </c>
      <c r="F199" s="11" t="str">
        <f t="shared" si="15"/>
        <v>Medium</v>
      </c>
      <c r="G199" s="7">
        <v>40</v>
      </c>
      <c r="H199" s="7">
        <v>37</v>
      </c>
      <c r="I199">
        <f t="shared" si="12"/>
        <v>37</v>
      </c>
      <c r="J199" s="7">
        <v>2</v>
      </c>
      <c r="K199" s="7">
        <v>4</v>
      </c>
      <c r="L199" s="7">
        <v>4</v>
      </c>
      <c r="M199" s="10">
        <f t="shared" si="13"/>
        <v>3.3333333333333335</v>
      </c>
      <c r="N199" s="11" t="str">
        <f t="shared" si="14"/>
        <v>Average</v>
      </c>
      <c r="O199" s="8" t="s">
        <v>16</v>
      </c>
    </row>
    <row r="200" spans="1:15" x14ac:dyDescent="0.3">
      <c r="A200" s="7">
        <v>70154</v>
      </c>
      <c r="B200" s="8" t="s">
        <v>11</v>
      </c>
      <c r="C200" s="8" t="s">
        <v>12</v>
      </c>
      <c r="D200" s="8" t="s">
        <v>13</v>
      </c>
      <c r="E200" s="7">
        <v>2388</v>
      </c>
      <c r="F200" s="11" t="str">
        <f t="shared" si="15"/>
        <v>Long</v>
      </c>
      <c r="G200" s="7">
        <v>0</v>
      </c>
      <c r="H200" s="7">
        <v>2</v>
      </c>
      <c r="I200">
        <f t="shared" si="12"/>
        <v>2</v>
      </c>
      <c r="J200" s="7">
        <v>3</v>
      </c>
      <c r="K200" s="7">
        <v>1</v>
      </c>
      <c r="L200" s="7">
        <v>4</v>
      </c>
      <c r="M200" s="10">
        <f t="shared" si="13"/>
        <v>2.6666666666666665</v>
      </c>
      <c r="N200" s="11" t="str">
        <f t="shared" si="14"/>
        <v>Average</v>
      </c>
      <c r="O200" s="8" t="s">
        <v>16</v>
      </c>
    </row>
    <row r="201" spans="1:15" x14ac:dyDescent="0.3">
      <c r="A201" s="7">
        <v>70118</v>
      </c>
      <c r="B201" s="8" t="s">
        <v>17</v>
      </c>
      <c r="C201" s="8" t="s">
        <v>18</v>
      </c>
      <c r="D201" s="8" t="s">
        <v>15</v>
      </c>
      <c r="E201" s="7">
        <v>1878</v>
      </c>
      <c r="F201" s="11" t="str">
        <f t="shared" si="15"/>
        <v>Long</v>
      </c>
      <c r="G201" s="7">
        <v>15</v>
      </c>
      <c r="H201" s="7">
        <v>10</v>
      </c>
      <c r="I201">
        <f t="shared" si="12"/>
        <v>10</v>
      </c>
      <c r="J201" s="7">
        <v>2</v>
      </c>
      <c r="K201" s="7">
        <v>1</v>
      </c>
      <c r="L201" s="7">
        <v>1</v>
      </c>
      <c r="M201" s="10">
        <f t="shared" si="13"/>
        <v>1.3333333333333333</v>
      </c>
      <c r="N201" s="11" t="str">
        <f t="shared" si="14"/>
        <v>Poor</v>
      </c>
      <c r="O201" s="8" t="s">
        <v>16</v>
      </c>
    </row>
    <row r="202" spans="1:15" x14ac:dyDescent="0.3">
      <c r="A202" s="7">
        <v>70015</v>
      </c>
      <c r="B202" s="8" t="s">
        <v>11</v>
      </c>
      <c r="C202" s="8" t="s">
        <v>18</v>
      </c>
      <c r="D202" s="8" t="s">
        <v>13</v>
      </c>
      <c r="E202" s="7">
        <v>2854</v>
      </c>
      <c r="F202" s="11" t="str">
        <f t="shared" si="15"/>
        <v>Long</v>
      </c>
      <c r="G202" s="7">
        <v>90</v>
      </c>
      <c r="H202" s="7">
        <v>85</v>
      </c>
      <c r="I202">
        <f t="shared" si="12"/>
        <v>85</v>
      </c>
      <c r="J202" s="7">
        <v>5</v>
      </c>
      <c r="K202" s="7">
        <v>4</v>
      </c>
      <c r="L202" s="7">
        <v>3</v>
      </c>
      <c r="M202" s="10">
        <f t="shared" si="13"/>
        <v>4</v>
      </c>
      <c r="N202" s="11" t="str">
        <f t="shared" si="14"/>
        <v>Good</v>
      </c>
      <c r="O202" s="8" t="s">
        <v>14</v>
      </c>
    </row>
    <row r="203" spans="1:15" x14ac:dyDescent="0.3">
      <c r="A203" s="7">
        <v>70219</v>
      </c>
      <c r="B203" s="8" t="s">
        <v>11</v>
      </c>
      <c r="C203" s="8" t="s">
        <v>12</v>
      </c>
      <c r="D203" s="8" t="s">
        <v>13</v>
      </c>
      <c r="E203" s="7">
        <v>976</v>
      </c>
      <c r="F203" s="11" t="str">
        <f t="shared" si="15"/>
        <v>Medium</v>
      </c>
      <c r="G203" s="7">
        <v>15</v>
      </c>
      <c r="H203" s="7">
        <v>11</v>
      </c>
      <c r="I203">
        <f t="shared" si="12"/>
        <v>11</v>
      </c>
      <c r="J203" s="7">
        <v>4</v>
      </c>
      <c r="K203" s="7">
        <v>2</v>
      </c>
      <c r="L203" s="7">
        <v>2</v>
      </c>
      <c r="M203" s="10">
        <f t="shared" si="13"/>
        <v>2.6666666666666665</v>
      </c>
      <c r="N203" s="11" t="str">
        <f t="shared" si="14"/>
        <v>Average</v>
      </c>
      <c r="O203" s="8" t="s">
        <v>16</v>
      </c>
    </row>
    <row r="204" spans="1:15" x14ac:dyDescent="0.3">
      <c r="A204" s="7">
        <v>70101</v>
      </c>
      <c r="B204" s="8" t="s">
        <v>17</v>
      </c>
      <c r="C204" s="8" t="s">
        <v>18</v>
      </c>
      <c r="D204" s="8" t="s">
        <v>13</v>
      </c>
      <c r="E204" s="7">
        <v>2423</v>
      </c>
      <c r="F204" s="11" t="str">
        <f t="shared" si="15"/>
        <v>Long</v>
      </c>
      <c r="G204" s="7">
        <v>15</v>
      </c>
      <c r="H204" s="7">
        <v>12</v>
      </c>
      <c r="I204">
        <f t="shared" si="12"/>
        <v>12</v>
      </c>
      <c r="J204" s="7">
        <v>2</v>
      </c>
      <c r="K204" s="7">
        <v>5</v>
      </c>
      <c r="L204" s="7">
        <v>2</v>
      </c>
      <c r="M204" s="10">
        <f t="shared" si="13"/>
        <v>3</v>
      </c>
      <c r="N204" s="11" t="str">
        <f t="shared" si="14"/>
        <v>Average</v>
      </c>
      <c r="O204" s="8" t="s">
        <v>14</v>
      </c>
    </row>
    <row r="205" spans="1:15" x14ac:dyDescent="0.3">
      <c r="A205" s="7">
        <v>70170</v>
      </c>
      <c r="B205" s="8" t="s">
        <v>11</v>
      </c>
      <c r="C205" s="8" t="s">
        <v>18</v>
      </c>
      <c r="D205" s="8" t="s">
        <v>15</v>
      </c>
      <c r="E205" s="7">
        <v>1822</v>
      </c>
      <c r="F205" s="11" t="str">
        <f t="shared" si="15"/>
        <v>Long</v>
      </c>
      <c r="G205" s="7">
        <v>0</v>
      </c>
      <c r="H205" s="7">
        <v>0</v>
      </c>
      <c r="I205">
        <f t="shared" si="12"/>
        <v>0</v>
      </c>
      <c r="J205" s="7">
        <v>5</v>
      </c>
      <c r="K205" s="7">
        <v>5</v>
      </c>
      <c r="L205" s="7">
        <v>5</v>
      </c>
      <c r="M205" s="10">
        <f t="shared" si="13"/>
        <v>5</v>
      </c>
      <c r="N205" s="11" t="str">
        <f t="shared" si="14"/>
        <v>Good</v>
      </c>
      <c r="O205" s="8" t="s">
        <v>14</v>
      </c>
    </row>
    <row r="206" spans="1:15" x14ac:dyDescent="0.3">
      <c r="A206" s="7">
        <v>70073</v>
      </c>
      <c r="B206" s="8" t="s">
        <v>17</v>
      </c>
      <c r="C206" s="8" t="s">
        <v>12</v>
      </c>
      <c r="D206" s="8" t="s">
        <v>15</v>
      </c>
      <c r="E206" s="7">
        <v>1762</v>
      </c>
      <c r="F206" s="11" t="str">
        <f t="shared" si="15"/>
        <v>Long</v>
      </c>
      <c r="G206" s="7">
        <v>0</v>
      </c>
      <c r="H206" s="7">
        <v>78</v>
      </c>
      <c r="I206">
        <f t="shared" si="12"/>
        <v>78</v>
      </c>
      <c r="J206" s="7">
        <v>2</v>
      </c>
      <c r="K206" s="7">
        <v>1</v>
      </c>
      <c r="L206" s="7">
        <v>4</v>
      </c>
      <c r="M206" s="10">
        <f t="shared" si="13"/>
        <v>2.3333333333333335</v>
      </c>
      <c r="N206" s="11" t="str">
        <f t="shared" si="14"/>
        <v>Poor</v>
      </c>
      <c r="O206" s="8" t="s">
        <v>14</v>
      </c>
    </row>
    <row r="207" spans="1:15" x14ac:dyDescent="0.3">
      <c r="A207" s="7">
        <v>70234</v>
      </c>
      <c r="B207" s="8" t="s">
        <v>11</v>
      </c>
      <c r="C207" s="8" t="s">
        <v>18</v>
      </c>
      <c r="D207" s="8" t="s">
        <v>19</v>
      </c>
      <c r="E207" s="7">
        <v>1341</v>
      </c>
      <c r="F207" s="11" t="str">
        <f t="shared" si="15"/>
        <v>Medium</v>
      </c>
      <c r="G207" s="7">
        <v>5</v>
      </c>
      <c r="H207" s="7">
        <v>8</v>
      </c>
      <c r="I207">
        <f t="shared" si="12"/>
        <v>8</v>
      </c>
      <c r="J207" s="7">
        <v>5</v>
      </c>
      <c r="K207" s="7">
        <v>4</v>
      </c>
      <c r="L207" s="7">
        <v>3</v>
      </c>
      <c r="M207" s="10">
        <f t="shared" si="13"/>
        <v>4</v>
      </c>
      <c r="N207" s="11" t="str">
        <f t="shared" si="14"/>
        <v>Good</v>
      </c>
      <c r="O207" s="8" t="s">
        <v>14</v>
      </c>
    </row>
    <row r="208" spans="1:15" x14ac:dyDescent="0.3">
      <c r="A208" s="7">
        <v>70144</v>
      </c>
      <c r="B208" s="8" t="s">
        <v>17</v>
      </c>
      <c r="C208" s="8" t="s">
        <v>18</v>
      </c>
      <c r="D208" s="8" t="s">
        <v>13</v>
      </c>
      <c r="E208" s="7">
        <v>252</v>
      </c>
      <c r="F208" s="11" t="str">
        <f t="shared" si="15"/>
        <v>Short</v>
      </c>
      <c r="G208" s="7">
        <v>15</v>
      </c>
      <c r="H208" s="7">
        <v>11</v>
      </c>
      <c r="I208">
        <f t="shared" si="12"/>
        <v>11</v>
      </c>
      <c r="J208" s="7">
        <v>1</v>
      </c>
      <c r="K208" s="7">
        <v>2</v>
      </c>
      <c r="L208" s="7">
        <v>1</v>
      </c>
      <c r="M208" s="10">
        <f t="shared" si="13"/>
        <v>1.3333333333333333</v>
      </c>
      <c r="N208" s="11" t="str">
        <f t="shared" si="14"/>
        <v>Poor</v>
      </c>
      <c r="O208" s="8" t="s">
        <v>16</v>
      </c>
    </row>
    <row r="209" spans="1:15" x14ac:dyDescent="0.3">
      <c r="A209" s="7">
        <v>70236</v>
      </c>
      <c r="B209" s="8" t="s">
        <v>11</v>
      </c>
      <c r="C209" s="8" t="s">
        <v>18</v>
      </c>
      <c r="D209" s="8" t="s">
        <v>13</v>
      </c>
      <c r="E209" s="7">
        <v>470</v>
      </c>
      <c r="F209" s="11" t="str">
        <f t="shared" si="15"/>
        <v>Short</v>
      </c>
      <c r="G209" s="7">
        <v>0</v>
      </c>
      <c r="H209" s="7">
        <v>67</v>
      </c>
      <c r="I209">
        <f t="shared" si="12"/>
        <v>67</v>
      </c>
      <c r="J209" s="7">
        <v>2</v>
      </c>
      <c r="K209" s="7">
        <v>4</v>
      </c>
      <c r="L209" s="7">
        <v>2</v>
      </c>
      <c r="M209" s="10">
        <f t="shared" si="13"/>
        <v>2.6666666666666665</v>
      </c>
      <c r="N209" s="11" t="str">
        <f t="shared" si="14"/>
        <v>Average</v>
      </c>
      <c r="O209" s="8" t="s">
        <v>14</v>
      </c>
    </row>
    <row r="210" spans="1:15" x14ac:dyDescent="0.3">
      <c r="A210" s="7">
        <v>70161</v>
      </c>
      <c r="B210" s="8" t="s">
        <v>11</v>
      </c>
      <c r="C210" s="8" t="s">
        <v>12</v>
      </c>
      <c r="D210" s="8" t="s">
        <v>19</v>
      </c>
      <c r="E210" s="7">
        <v>3332</v>
      </c>
      <c r="F210" s="11" t="str">
        <f t="shared" si="15"/>
        <v>Long</v>
      </c>
      <c r="G210" s="7">
        <v>15</v>
      </c>
      <c r="H210" s="7">
        <v>21</v>
      </c>
      <c r="I210">
        <f t="shared" si="12"/>
        <v>21</v>
      </c>
      <c r="J210" s="7">
        <v>2</v>
      </c>
      <c r="K210" s="7">
        <v>3</v>
      </c>
      <c r="L210" s="7">
        <v>2</v>
      </c>
      <c r="M210" s="10">
        <f t="shared" si="13"/>
        <v>2.3333333333333335</v>
      </c>
      <c r="N210" s="11" t="str">
        <f t="shared" si="14"/>
        <v>Poor</v>
      </c>
      <c r="O210" s="8" t="s">
        <v>16</v>
      </c>
    </row>
    <row r="211" spans="1:15" x14ac:dyDescent="0.3">
      <c r="A211" s="7">
        <v>70201</v>
      </c>
      <c r="B211" s="8" t="s">
        <v>17</v>
      </c>
      <c r="C211" s="8" t="s">
        <v>18</v>
      </c>
      <c r="D211" s="8" t="s">
        <v>19</v>
      </c>
      <c r="E211" s="7">
        <v>2713</v>
      </c>
      <c r="F211" s="11" t="str">
        <f t="shared" si="15"/>
        <v>Long</v>
      </c>
      <c r="G211" s="7">
        <v>0</v>
      </c>
      <c r="H211" s="7">
        <v>9</v>
      </c>
      <c r="I211">
        <f t="shared" si="12"/>
        <v>9</v>
      </c>
      <c r="J211" s="7">
        <v>3</v>
      </c>
      <c r="K211" s="7">
        <v>3</v>
      </c>
      <c r="L211" s="7">
        <v>3</v>
      </c>
      <c r="M211" s="10">
        <f t="shared" si="13"/>
        <v>3</v>
      </c>
      <c r="N211" s="11" t="str">
        <f t="shared" si="14"/>
        <v>Average</v>
      </c>
      <c r="O211" s="8" t="s">
        <v>14</v>
      </c>
    </row>
    <row r="212" spans="1:15" x14ac:dyDescent="0.3">
      <c r="A212" s="7">
        <v>70045</v>
      </c>
      <c r="B212" s="8" t="s">
        <v>11</v>
      </c>
      <c r="C212" s="8" t="s">
        <v>18</v>
      </c>
      <c r="D212" s="8" t="s">
        <v>19</v>
      </c>
      <c r="E212" s="7">
        <v>740</v>
      </c>
      <c r="F212" s="11" t="str">
        <f t="shared" si="15"/>
        <v>Medium</v>
      </c>
      <c r="G212" s="7">
        <v>40</v>
      </c>
      <c r="H212" s="7">
        <v>49</v>
      </c>
      <c r="I212">
        <f t="shared" si="12"/>
        <v>49</v>
      </c>
      <c r="J212" s="7">
        <v>4</v>
      </c>
      <c r="K212" s="7">
        <v>1</v>
      </c>
      <c r="L212" s="7">
        <v>4</v>
      </c>
      <c r="M212" s="10">
        <f t="shared" si="13"/>
        <v>3</v>
      </c>
      <c r="N212" s="11" t="str">
        <f t="shared" si="14"/>
        <v>Average</v>
      </c>
      <c r="O212" s="8" t="s">
        <v>16</v>
      </c>
    </row>
    <row r="213" spans="1:15" x14ac:dyDescent="0.3">
      <c r="A213" s="7">
        <v>70160</v>
      </c>
      <c r="B213" s="8" t="s">
        <v>11</v>
      </c>
      <c r="C213" s="8" t="s">
        <v>18</v>
      </c>
      <c r="D213" s="8" t="s">
        <v>13</v>
      </c>
      <c r="E213" s="7">
        <v>1687</v>
      </c>
      <c r="F213" s="11" t="str">
        <f t="shared" si="15"/>
        <v>Long</v>
      </c>
      <c r="G213" s="7">
        <v>0</v>
      </c>
      <c r="H213" s="7">
        <v>4</v>
      </c>
      <c r="I213">
        <f t="shared" si="12"/>
        <v>4</v>
      </c>
      <c r="J213" s="7">
        <v>5</v>
      </c>
      <c r="K213" s="7">
        <v>1</v>
      </c>
      <c r="L213" s="7">
        <v>3</v>
      </c>
      <c r="M213" s="10">
        <f t="shared" si="13"/>
        <v>3</v>
      </c>
      <c r="N213" s="11" t="str">
        <f t="shared" si="14"/>
        <v>Average</v>
      </c>
      <c r="O213" s="8" t="s">
        <v>16</v>
      </c>
    </row>
    <row r="214" spans="1:15" x14ac:dyDescent="0.3">
      <c r="A214" s="7">
        <v>70017</v>
      </c>
      <c r="B214" s="8" t="s">
        <v>17</v>
      </c>
      <c r="C214" s="8" t="s">
        <v>12</v>
      </c>
      <c r="D214" s="8" t="s">
        <v>15</v>
      </c>
      <c r="E214" s="7">
        <v>213</v>
      </c>
      <c r="F214" s="11" t="str">
        <f t="shared" si="15"/>
        <v>Short</v>
      </c>
      <c r="G214" s="7">
        <v>0</v>
      </c>
      <c r="H214" s="7">
        <v>0</v>
      </c>
      <c r="I214">
        <f t="shared" si="12"/>
        <v>0</v>
      </c>
      <c r="J214" s="7">
        <v>3</v>
      </c>
      <c r="K214" s="7">
        <v>1</v>
      </c>
      <c r="L214" s="7">
        <v>1</v>
      </c>
      <c r="M214" s="10">
        <f t="shared" si="13"/>
        <v>1.6666666666666667</v>
      </c>
      <c r="N214" s="11" t="str">
        <f t="shared" si="14"/>
        <v>Poor</v>
      </c>
      <c r="O214" s="8" t="s">
        <v>16</v>
      </c>
    </row>
    <row r="215" spans="1:15" x14ac:dyDescent="0.3">
      <c r="A215" s="7">
        <v>70107</v>
      </c>
      <c r="B215" s="8" t="s">
        <v>11</v>
      </c>
      <c r="C215" s="8" t="s">
        <v>18</v>
      </c>
      <c r="D215" s="8" t="s">
        <v>15</v>
      </c>
      <c r="E215" s="7">
        <v>924</v>
      </c>
      <c r="F215" s="11" t="str">
        <f t="shared" si="15"/>
        <v>Medium</v>
      </c>
      <c r="G215" s="7">
        <v>90</v>
      </c>
      <c r="H215" s="7">
        <v>89</v>
      </c>
      <c r="I215">
        <f t="shared" si="12"/>
        <v>89</v>
      </c>
      <c r="J215" s="7">
        <v>1</v>
      </c>
      <c r="K215" s="7">
        <v>2</v>
      </c>
      <c r="L215" s="7">
        <v>1</v>
      </c>
      <c r="M215" s="10">
        <f t="shared" si="13"/>
        <v>1.3333333333333333</v>
      </c>
      <c r="N215" s="11" t="str">
        <f t="shared" si="14"/>
        <v>Poor</v>
      </c>
      <c r="O215" s="8" t="s">
        <v>16</v>
      </c>
    </row>
    <row r="216" spans="1:15" x14ac:dyDescent="0.3">
      <c r="A216" s="7">
        <v>70175</v>
      </c>
      <c r="B216" s="8" t="s">
        <v>11</v>
      </c>
      <c r="C216" s="8" t="s">
        <v>12</v>
      </c>
      <c r="D216" s="8" t="s">
        <v>15</v>
      </c>
      <c r="E216" s="7">
        <v>2498</v>
      </c>
      <c r="F216" s="11" t="str">
        <f t="shared" si="15"/>
        <v>Long</v>
      </c>
      <c r="G216" s="7">
        <v>15</v>
      </c>
      <c r="H216" s="7">
        <v>21</v>
      </c>
      <c r="I216">
        <f t="shared" si="12"/>
        <v>21</v>
      </c>
      <c r="J216" s="7">
        <v>4</v>
      </c>
      <c r="K216" s="7">
        <v>3</v>
      </c>
      <c r="L216" s="7">
        <v>5</v>
      </c>
      <c r="M216" s="10">
        <f t="shared" si="13"/>
        <v>4</v>
      </c>
      <c r="N216" s="11" t="str">
        <f t="shared" si="14"/>
        <v>Good</v>
      </c>
      <c r="O216" s="8" t="s">
        <v>16</v>
      </c>
    </row>
    <row r="217" spans="1:15" x14ac:dyDescent="0.3">
      <c r="A217" s="7">
        <v>70029</v>
      </c>
      <c r="B217" s="8" t="s">
        <v>11</v>
      </c>
      <c r="C217" s="8" t="s">
        <v>12</v>
      </c>
      <c r="D217" s="8" t="s">
        <v>13</v>
      </c>
      <c r="E217" s="7">
        <v>2486</v>
      </c>
      <c r="F217" s="11" t="str">
        <f t="shared" si="15"/>
        <v>Long</v>
      </c>
      <c r="G217" s="7">
        <v>90</v>
      </c>
      <c r="H217" s="7">
        <v>90</v>
      </c>
      <c r="I217">
        <f t="shared" si="12"/>
        <v>90</v>
      </c>
      <c r="J217" s="7">
        <v>1</v>
      </c>
      <c r="K217" s="7">
        <v>4</v>
      </c>
      <c r="L217" s="7">
        <v>4</v>
      </c>
      <c r="M217" s="10">
        <f t="shared" si="13"/>
        <v>3</v>
      </c>
      <c r="N217" s="11" t="str">
        <f t="shared" si="14"/>
        <v>Average</v>
      </c>
      <c r="O217" s="8" t="s">
        <v>16</v>
      </c>
    </row>
    <row r="218" spans="1:15" x14ac:dyDescent="0.3">
      <c r="A218" s="7">
        <v>70140</v>
      </c>
      <c r="B218" s="8" t="s">
        <v>11</v>
      </c>
      <c r="C218" s="8" t="s">
        <v>12</v>
      </c>
      <c r="D218" s="8" t="s">
        <v>13</v>
      </c>
      <c r="E218" s="7">
        <v>684</v>
      </c>
      <c r="F218" s="11" t="str">
        <f t="shared" si="15"/>
        <v>Medium</v>
      </c>
      <c r="G218" s="7">
        <v>5</v>
      </c>
      <c r="H218" s="7">
        <v>1</v>
      </c>
      <c r="I218">
        <f t="shared" si="12"/>
        <v>1</v>
      </c>
      <c r="J218" s="7">
        <v>2</v>
      </c>
      <c r="K218" s="7">
        <v>4</v>
      </c>
      <c r="L218" s="7">
        <v>2</v>
      </c>
      <c r="M218" s="10">
        <f t="shared" si="13"/>
        <v>2.6666666666666665</v>
      </c>
      <c r="N218" s="11" t="str">
        <f t="shared" si="14"/>
        <v>Average</v>
      </c>
      <c r="O218" s="8" t="s">
        <v>14</v>
      </c>
    </row>
    <row r="219" spans="1:15" x14ac:dyDescent="0.3">
      <c r="A219" s="7">
        <v>70027</v>
      </c>
      <c r="B219" s="8" t="s">
        <v>11</v>
      </c>
      <c r="C219" s="8" t="s">
        <v>18</v>
      </c>
      <c r="D219" s="8" t="s">
        <v>13</v>
      </c>
      <c r="E219" s="7">
        <v>2294</v>
      </c>
      <c r="F219" s="11" t="str">
        <f t="shared" si="15"/>
        <v>Long</v>
      </c>
      <c r="G219" s="7">
        <v>15</v>
      </c>
      <c r="H219" s="7">
        <v>15</v>
      </c>
      <c r="I219">
        <f t="shared" si="12"/>
        <v>15</v>
      </c>
      <c r="J219" s="7">
        <v>4</v>
      </c>
      <c r="K219" s="7">
        <v>5</v>
      </c>
      <c r="L219" s="7">
        <v>4</v>
      </c>
      <c r="M219" s="10">
        <f t="shared" si="13"/>
        <v>4.333333333333333</v>
      </c>
      <c r="N219" s="11" t="str">
        <f t="shared" si="14"/>
        <v>Good</v>
      </c>
      <c r="O219" s="8" t="s">
        <v>14</v>
      </c>
    </row>
    <row r="220" spans="1:15" x14ac:dyDescent="0.3">
      <c r="A220" s="7">
        <v>70084</v>
      </c>
      <c r="B220" s="8" t="s">
        <v>17</v>
      </c>
      <c r="C220" s="8" t="s">
        <v>12</v>
      </c>
      <c r="D220" s="8" t="s">
        <v>13</v>
      </c>
      <c r="E220" s="7">
        <v>1260</v>
      </c>
      <c r="F220" s="11" t="str">
        <f t="shared" si="15"/>
        <v>Medium</v>
      </c>
      <c r="G220" s="7">
        <v>90</v>
      </c>
      <c r="H220" s="7">
        <v>99</v>
      </c>
      <c r="I220">
        <f t="shared" si="12"/>
        <v>99</v>
      </c>
      <c r="J220" s="7">
        <v>1</v>
      </c>
      <c r="K220" s="7">
        <v>4</v>
      </c>
      <c r="L220" s="7">
        <v>4</v>
      </c>
      <c r="M220" s="10">
        <f t="shared" si="13"/>
        <v>3</v>
      </c>
      <c r="N220" s="11" t="str">
        <f t="shared" si="14"/>
        <v>Average</v>
      </c>
      <c r="O220" s="8" t="s">
        <v>14</v>
      </c>
    </row>
    <row r="221" spans="1:15" x14ac:dyDescent="0.3">
      <c r="A221" s="7">
        <v>70179</v>
      </c>
      <c r="B221" s="8" t="s">
        <v>17</v>
      </c>
      <c r="C221" s="8" t="s">
        <v>18</v>
      </c>
      <c r="D221" s="8" t="s">
        <v>19</v>
      </c>
      <c r="E221" s="7">
        <v>2343</v>
      </c>
      <c r="F221" s="11" t="str">
        <f t="shared" si="15"/>
        <v>Long</v>
      </c>
      <c r="G221" s="7">
        <v>0</v>
      </c>
      <c r="H221" s="7">
        <v>0</v>
      </c>
      <c r="I221">
        <f t="shared" si="12"/>
        <v>0</v>
      </c>
      <c r="J221" s="7">
        <v>1</v>
      </c>
      <c r="K221" s="7">
        <v>2</v>
      </c>
      <c r="L221" s="7">
        <v>2</v>
      </c>
      <c r="M221" s="10">
        <f t="shared" si="13"/>
        <v>1.6666666666666667</v>
      </c>
      <c r="N221" s="11" t="str">
        <f t="shared" si="14"/>
        <v>Poor</v>
      </c>
      <c r="O221" s="8" t="s">
        <v>14</v>
      </c>
    </row>
    <row r="222" spans="1:15" x14ac:dyDescent="0.3">
      <c r="A222" s="7">
        <v>70141</v>
      </c>
      <c r="B222" s="8" t="s">
        <v>11</v>
      </c>
      <c r="C222" s="8" t="s">
        <v>18</v>
      </c>
      <c r="D222" s="8" t="s">
        <v>19</v>
      </c>
      <c r="E222" s="7">
        <v>274</v>
      </c>
      <c r="F222" s="11" t="str">
        <f t="shared" si="15"/>
        <v>Short</v>
      </c>
      <c r="G222" s="7">
        <v>5</v>
      </c>
      <c r="H222" s="7">
        <v>5</v>
      </c>
      <c r="I222">
        <f t="shared" si="12"/>
        <v>5</v>
      </c>
      <c r="J222" s="7">
        <v>3</v>
      </c>
      <c r="K222" s="7">
        <v>5</v>
      </c>
      <c r="L222" s="7">
        <v>3</v>
      </c>
      <c r="M222" s="10">
        <f t="shared" si="13"/>
        <v>3.6666666666666665</v>
      </c>
      <c r="N222" s="11" t="str">
        <f t="shared" si="14"/>
        <v>Good</v>
      </c>
      <c r="O222" s="8" t="s">
        <v>14</v>
      </c>
    </row>
    <row r="223" spans="1:15" x14ac:dyDescent="0.3">
      <c r="A223" s="7">
        <v>70143</v>
      </c>
      <c r="B223" s="8" t="s">
        <v>17</v>
      </c>
      <c r="C223" s="8" t="s">
        <v>18</v>
      </c>
      <c r="D223" s="8" t="s">
        <v>15</v>
      </c>
      <c r="E223" s="7">
        <v>1272</v>
      </c>
      <c r="F223" s="11" t="str">
        <f t="shared" si="15"/>
        <v>Medium</v>
      </c>
      <c r="G223" s="7">
        <v>90</v>
      </c>
      <c r="H223" s="7">
        <v>88</v>
      </c>
      <c r="I223">
        <f t="shared" si="12"/>
        <v>88</v>
      </c>
      <c r="J223" s="7">
        <v>5</v>
      </c>
      <c r="K223" s="7">
        <v>3</v>
      </c>
      <c r="L223" s="7">
        <v>4</v>
      </c>
      <c r="M223" s="10">
        <f t="shared" si="13"/>
        <v>4</v>
      </c>
      <c r="N223" s="11" t="str">
        <f t="shared" si="14"/>
        <v>Good</v>
      </c>
      <c r="O223" s="8" t="s">
        <v>16</v>
      </c>
    </row>
    <row r="224" spans="1:15" x14ac:dyDescent="0.3">
      <c r="A224" s="7">
        <v>70197</v>
      </c>
      <c r="B224" s="8" t="s">
        <v>11</v>
      </c>
      <c r="C224" s="8" t="s">
        <v>12</v>
      </c>
      <c r="D224" s="8" t="s">
        <v>19</v>
      </c>
      <c r="E224" s="7">
        <v>353</v>
      </c>
      <c r="F224" s="11" t="str">
        <f t="shared" si="15"/>
        <v>Short</v>
      </c>
      <c r="G224" s="7">
        <v>5</v>
      </c>
      <c r="H224" s="7">
        <v>6</v>
      </c>
      <c r="I224">
        <f t="shared" si="12"/>
        <v>6</v>
      </c>
      <c r="J224" s="7">
        <v>5</v>
      </c>
      <c r="K224" s="7">
        <v>5</v>
      </c>
      <c r="L224" s="7">
        <v>1</v>
      </c>
      <c r="M224" s="10">
        <f t="shared" si="13"/>
        <v>3.6666666666666665</v>
      </c>
      <c r="N224" s="11" t="str">
        <f t="shared" si="14"/>
        <v>Good</v>
      </c>
      <c r="O224" s="8" t="s">
        <v>16</v>
      </c>
    </row>
    <row r="225" spans="1:15" x14ac:dyDescent="0.3">
      <c r="A225" s="7">
        <v>70024</v>
      </c>
      <c r="B225" s="8" t="s">
        <v>11</v>
      </c>
      <c r="C225" s="8" t="s">
        <v>12</v>
      </c>
      <c r="D225" s="8" t="s">
        <v>15</v>
      </c>
      <c r="E225" s="7">
        <v>1161</v>
      </c>
      <c r="F225" s="11" t="str">
        <f t="shared" si="15"/>
        <v>Medium</v>
      </c>
      <c r="G225" s="7">
        <v>90</v>
      </c>
      <c r="H225" s="7">
        <v>89</v>
      </c>
      <c r="I225">
        <f t="shared" si="12"/>
        <v>89</v>
      </c>
      <c r="J225" s="7">
        <v>2</v>
      </c>
      <c r="K225" s="7">
        <v>2</v>
      </c>
      <c r="L225" s="7">
        <v>4</v>
      </c>
      <c r="M225" s="10">
        <f t="shared" si="13"/>
        <v>2.6666666666666665</v>
      </c>
      <c r="N225" s="11" t="str">
        <f t="shared" si="14"/>
        <v>Average</v>
      </c>
      <c r="O225" s="8" t="s">
        <v>14</v>
      </c>
    </row>
    <row r="226" spans="1:15" x14ac:dyDescent="0.3">
      <c r="A226" s="7">
        <v>70158</v>
      </c>
      <c r="B226" s="8" t="s">
        <v>11</v>
      </c>
      <c r="C226" s="8" t="s">
        <v>12</v>
      </c>
      <c r="D226" s="8" t="s">
        <v>19</v>
      </c>
      <c r="E226" s="7">
        <v>2593</v>
      </c>
      <c r="F226" s="11" t="str">
        <f t="shared" si="15"/>
        <v>Long</v>
      </c>
      <c r="G226" s="7">
        <v>0</v>
      </c>
      <c r="H226" s="7">
        <v>4</v>
      </c>
      <c r="I226">
        <f t="shared" si="12"/>
        <v>4</v>
      </c>
      <c r="J226" s="7">
        <v>2</v>
      </c>
      <c r="K226" s="7">
        <v>3</v>
      </c>
      <c r="L226" s="7">
        <v>2</v>
      </c>
      <c r="M226" s="10">
        <f t="shared" si="13"/>
        <v>2.3333333333333335</v>
      </c>
      <c r="N226" s="11" t="str">
        <f t="shared" si="14"/>
        <v>Poor</v>
      </c>
      <c r="O226" s="8" t="s">
        <v>14</v>
      </c>
    </row>
    <row r="227" spans="1:15" x14ac:dyDescent="0.3">
      <c r="A227" s="7">
        <v>70239</v>
      </c>
      <c r="B227" s="8" t="s">
        <v>11</v>
      </c>
      <c r="C227" s="8" t="s">
        <v>18</v>
      </c>
      <c r="D227" s="8" t="s">
        <v>13</v>
      </c>
      <c r="E227" s="7">
        <v>696</v>
      </c>
      <c r="F227" s="11" t="str">
        <f t="shared" si="15"/>
        <v>Medium</v>
      </c>
      <c r="G227" s="7">
        <v>40</v>
      </c>
      <c r="H227" s="7">
        <v>43</v>
      </c>
      <c r="I227">
        <f t="shared" si="12"/>
        <v>43</v>
      </c>
      <c r="J227" s="7">
        <v>1</v>
      </c>
      <c r="K227" s="7">
        <v>4</v>
      </c>
      <c r="L227" s="7">
        <v>1</v>
      </c>
      <c r="M227" s="10">
        <f t="shared" si="13"/>
        <v>2</v>
      </c>
      <c r="N227" s="11" t="str">
        <f t="shared" si="14"/>
        <v>Poor</v>
      </c>
      <c r="O227" s="8" t="s">
        <v>14</v>
      </c>
    </row>
    <row r="228" spans="1:15" x14ac:dyDescent="0.3">
      <c r="A228" s="7">
        <v>70022</v>
      </c>
      <c r="B228" s="8" t="s">
        <v>17</v>
      </c>
      <c r="C228" s="8" t="s">
        <v>18</v>
      </c>
      <c r="D228" s="8" t="s">
        <v>13</v>
      </c>
      <c r="E228" s="7">
        <v>1637</v>
      </c>
      <c r="F228" s="11" t="str">
        <f t="shared" si="15"/>
        <v>Long</v>
      </c>
      <c r="G228" s="7">
        <v>40</v>
      </c>
      <c r="H228" s="7">
        <v>39</v>
      </c>
      <c r="I228">
        <f t="shared" si="12"/>
        <v>39</v>
      </c>
      <c r="J228" s="7">
        <v>5</v>
      </c>
      <c r="K228" s="7">
        <v>4</v>
      </c>
      <c r="L228" s="7">
        <v>2</v>
      </c>
      <c r="M228" s="10">
        <f t="shared" si="13"/>
        <v>3.6666666666666665</v>
      </c>
      <c r="N228" s="11" t="str">
        <f t="shared" si="14"/>
        <v>Good</v>
      </c>
      <c r="O228" s="8" t="s">
        <v>16</v>
      </c>
    </row>
    <row r="229" spans="1:15" x14ac:dyDescent="0.3">
      <c r="A229" s="7">
        <v>70075</v>
      </c>
      <c r="B229" s="8" t="s">
        <v>11</v>
      </c>
      <c r="C229" s="8" t="s">
        <v>18</v>
      </c>
      <c r="D229" s="8" t="s">
        <v>13</v>
      </c>
      <c r="E229" s="7">
        <v>869</v>
      </c>
      <c r="F229" s="11" t="str">
        <f t="shared" si="15"/>
        <v>Medium</v>
      </c>
      <c r="G229" s="7">
        <v>5</v>
      </c>
      <c r="H229" s="7">
        <v>5</v>
      </c>
      <c r="I229">
        <f t="shared" si="12"/>
        <v>5</v>
      </c>
      <c r="J229" s="7">
        <v>5</v>
      </c>
      <c r="K229" s="7">
        <v>5</v>
      </c>
      <c r="L229" s="7">
        <v>3</v>
      </c>
      <c r="M229" s="10">
        <f t="shared" si="13"/>
        <v>4.333333333333333</v>
      </c>
      <c r="N229" s="11" t="str">
        <f t="shared" si="14"/>
        <v>Good</v>
      </c>
      <c r="O229" s="8" t="s">
        <v>14</v>
      </c>
    </row>
    <row r="230" spans="1:15" x14ac:dyDescent="0.3">
      <c r="A230" s="7">
        <v>70002</v>
      </c>
      <c r="B230" s="8" t="s">
        <v>11</v>
      </c>
      <c r="C230" s="8" t="s">
        <v>18</v>
      </c>
      <c r="D230" s="8" t="s">
        <v>15</v>
      </c>
      <c r="E230" s="7">
        <v>342</v>
      </c>
      <c r="F230" s="11" t="str">
        <f t="shared" si="15"/>
        <v>Short</v>
      </c>
      <c r="G230" s="7">
        <v>5</v>
      </c>
      <c r="H230" s="7">
        <v>7</v>
      </c>
      <c r="I230">
        <f t="shared" si="12"/>
        <v>7</v>
      </c>
      <c r="J230" s="7">
        <v>1</v>
      </c>
      <c r="K230" s="7">
        <v>1</v>
      </c>
      <c r="L230" s="7">
        <v>3</v>
      </c>
      <c r="M230" s="10">
        <f t="shared" si="13"/>
        <v>1.6666666666666667</v>
      </c>
      <c r="N230" s="11" t="str">
        <f t="shared" si="14"/>
        <v>Poor</v>
      </c>
      <c r="O230" s="8" t="s">
        <v>16</v>
      </c>
    </row>
    <row r="231" spans="1:15" x14ac:dyDescent="0.3">
      <c r="A231" s="7">
        <v>70004</v>
      </c>
      <c r="B231" s="8" t="s">
        <v>17</v>
      </c>
      <c r="C231" s="8" t="s">
        <v>12</v>
      </c>
      <c r="D231" s="8" t="s">
        <v>19</v>
      </c>
      <c r="E231" s="7">
        <v>3156</v>
      </c>
      <c r="F231" s="11" t="str">
        <f t="shared" si="15"/>
        <v>Long</v>
      </c>
      <c r="G231" s="7">
        <v>15</v>
      </c>
      <c r="H231" s="7">
        <v>20</v>
      </c>
      <c r="I231">
        <f t="shared" si="12"/>
        <v>20</v>
      </c>
      <c r="J231" s="7">
        <v>2</v>
      </c>
      <c r="K231" s="7">
        <v>3</v>
      </c>
      <c r="L231" s="7">
        <v>2</v>
      </c>
      <c r="M231" s="10">
        <f t="shared" si="13"/>
        <v>2.3333333333333335</v>
      </c>
      <c r="N231" s="11" t="str">
        <f t="shared" si="14"/>
        <v>Poor</v>
      </c>
      <c r="O231" s="8" t="s">
        <v>14</v>
      </c>
    </row>
    <row r="232" spans="1:15" x14ac:dyDescent="0.3">
      <c r="A232" s="7">
        <v>70116</v>
      </c>
      <c r="B232" s="8" t="s">
        <v>11</v>
      </c>
      <c r="C232" s="8" t="s">
        <v>12</v>
      </c>
      <c r="D232" s="8" t="s">
        <v>13</v>
      </c>
      <c r="E232" s="7">
        <v>3314</v>
      </c>
      <c r="F232" s="11" t="str">
        <f t="shared" si="15"/>
        <v>Long</v>
      </c>
      <c r="G232" s="7">
        <v>15</v>
      </c>
      <c r="H232" s="7">
        <v>23</v>
      </c>
      <c r="I232">
        <f t="shared" si="12"/>
        <v>23</v>
      </c>
      <c r="J232" s="7">
        <v>5</v>
      </c>
      <c r="K232" s="7">
        <v>5</v>
      </c>
      <c r="L232" s="7">
        <v>5</v>
      </c>
      <c r="M232" s="10">
        <f t="shared" si="13"/>
        <v>5</v>
      </c>
      <c r="N232" s="11" t="str">
        <f t="shared" si="14"/>
        <v>Good</v>
      </c>
      <c r="O232" s="8" t="s">
        <v>14</v>
      </c>
    </row>
    <row r="233" spans="1:15" x14ac:dyDescent="0.3">
      <c r="A233" s="7">
        <v>70056</v>
      </c>
      <c r="B233" s="8" t="s">
        <v>11</v>
      </c>
      <c r="C233" s="8" t="s">
        <v>12</v>
      </c>
      <c r="D233" s="8" t="s">
        <v>13</v>
      </c>
      <c r="E233" s="7">
        <v>2095</v>
      </c>
      <c r="F233" s="11" t="str">
        <f t="shared" si="15"/>
        <v>Long</v>
      </c>
      <c r="G233" s="7">
        <v>0</v>
      </c>
      <c r="H233" s="7">
        <v>8</v>
      </c>
      <c r="I233">
        <f t="shared" si="12"/>
        <v>8</v>
      </c>
      <c r="J233" s="7">
        <v>2</v>
      </c>
      <c r="K233" s="7">
        <v>4</v>
      </c>
      <c r="L233" s="7">
        <v>3</v>
      </c>
      <c r="M233" s="10">
        <f t="shared" si="13"/>
        <v>3</v>
      </c>
      <c r="N233" s="11" t="str">
        <f t="shared" si="14"/>
        <v>Average</v>
      </c>
      <c r="O233" s="8" t="s">
        <v>16</v>
      </c>
    </row>
    <row r="234" spans="1:15" x14ac:dyDescent="0.3">
      <c r="A234" s="7">
        <v>70238</v>
      </c>
      <c r="B234" s="8" t="s">
        <v>17</v>
      </c>
      <c r="C234" s="8" t="s">
        <v>12</v>
      </c>
      <c r="D234" s="8" t="s">
        <v>13</v>
      </c>
      <c r="E234" s="7">
        <v>2057</v>
      </c>
      <c r="F234" s="11" t="str">
        <f t="shared" si="15"/>
        <v>Long</v>
      </c>
      <c r="G234" s="7">
        <v>5</v>
      </c>
      <c r="H234" s="7">
        <v>7</v>
      </c>
      <c r="I234">
        <f t="shared" si="12"/>
        <v>7</v>
      </c>
      <c r="J234" s="7">
        <v>5</v>
      </c>
      <c r="K234" s="7">
        <v>1</v>
      </c>
      <c r="L234" s="7">
        <v>5</v>
      </c>
      <c r="M234" s="10">
        <f t="shared" si="13"/>
        <v>3.6666666666666665</v>
      </c>
      <c r="N234" s="11" t="str">
        <f t="shared" si="14"/>
        <v>Good</v>
      </c>
      <c r="O234" s="8" t="s">
        <v>16</v>
      </c>
    </row>
    <row r="235" spans="1:15" x14ac:dyDescent="0.3">
      <c r="A235" s="7">
        <v>70040</v>
      </c>
      <c r="B235" s="8" t="s">
        <v>11</v>
      </c>
      <c r="C235" s="8" t="s">
        <v>12</v>
      </c>
      <c r="D235" s="8" t="s">
        <v>19</v>
      </c>
      <c r="E235" s="7">
        <v>2560</v>
      </c>
      <c r="F235" s="11" t="str">
        <f t="shared" si="15"/>
        <v>Long</v>
      </c>
      <c r="G235" s="7">
        <v>90</v>
      </c>
      <c r="H235" s="7">
        <v>97</v>
      </c>
      <c r="I235">
        <f t="shared" si="12"/>
        <v>97</v>
      </c>
      <c r="J235" s="7">
        <v>5</v>
      </c>
      <c r="K235" s="7">
        <v>2</v>
      </c>
      <c r="L235" s="7">
        <v>5</v>
      </c>
      <c r="M235" s="10">
        <f t="shared" si="13"/>
        <v>4</v>
      </c>
      <c r="N235" s="11" t="str">
        <f t="shared" si="14"/>
        <v>Good</v>
      </c>
      <c r="O235" s="8" t="s">
        <v>16</v>
      </c>
    </row>
    <row r="236" spans="1:15" x14ac:dyDescent="0.3">
      <c r="A236" s="7">
        <v>70079</v>
      </c>
      <c r="B236" s="8" t="s">
        <v>11</v>
      </c>
      <c r="C236" s="8" t="s">
        <v>12</v>
      </c>
      <c r="D236" s="8" t="s">
        <v>19</v>
      </c>
      <c r="E236" s="7">
        <v>2945</v>
      </c>
      <c r="F236" s="11" t="str">
        <f t="shared" si="15"/>
        <v>Long</v>
      </c>
      <c r="G236" s="7">
        <v>90</v>
      </c>
      <c r="H236" s="7">
        <v>98</v>
      </c>
      <c r="I236">
        <f t="shared" si="12"/>
        <v>98</v>
      </c>
      <c r="J236" s="7">
        <v>4</v>
      </c>
      <c r="K236" s="7">
        <v>3</v>
      </c>
      <c r="L236" s="7">
        <v>1</v>
      </c>
      <c r="M236" s="10">
        <f t="shared" si="13"/>
        <v>2.6666666666666665</v>
      </c>
      <c r="N236" s="11" t="str">
        <f t="shared" si="14"/>
        <v>Average</v>
      </c>
      <c r="O236" s="8" t="s">
        <v>16</v>
      </c>
    </row>
    <row r="237" spans="1:15" x14ac:dyDescent="0.3">
      <c r="A237" s="7">
        <v>70105</v>
      </c>
      <c r="B237" s="8" t="s">
        <v>11</v>
      </c>
      <c r="C237" s="8" t="s">
        <v>12</v>
      </c>
      <c r="D237" s="8" t="s">
        <v>13</v>
      </c>
      <c r="E237" s="7">
        <v>2847</v>
      </c>
      <c r="F237" s="11" t="str">
        <f t="shared" si="15"/>
        <v>Long</v>
      </c>
      <c r="G237" s="7">
        <v>40</v>
      </c>
      <c r="H237" s="7">
        <v>45</v>
      </c>
      <c r="I237">
        <f t="shared" si="12"/>
        <v>45</v>
      </c>
      <c r="J237" s="7">
        <v>1</v>
      </c>
      <c r="K237" s="7">
        <v>2</v>
      </c>
      <c r="L237" s="7">
        <v>2</v>
      </c>
      <c r="M237" s="10">
        <f t="shared" si="13"/>
        <v>1.6666666666666667</v>
      </c>
      <c r="N237" s="11" t="str">
        <f t="shared" si="14"/>
        <v>Poor</v>
      </c>
      <c r="O237" s="8" t="s">
        <v>14</v>
      </c>
    </row>
    <row r="238" spans="1:15" x14ac:dyDescent="0.3">
      <c r="A238" s="7">
        <v>70049</v>
      </c>
      <c r="B238" s="8" t="s">
        <v>17</v>
      </c>
      <c r="C238" s="8" t="s">
        <v>18</v>
      </c>
      <c r="D238" s="8" t="s">
        <v>19</v>
      </c>
      <c r="E238" s="7">
        <v>1315</v>
      </c>
      <c r="F238" s="11" t="str">
        <f t="shared" si="15"/>
        <v>Medium</v>
      </c>
      <c r="G238" s="7">
        <v>15</v>
      </c>
      <c r="H238" s="7">
        <v>19</v>
      </c>
      <c r="I238">
        <f t="shared" si="12"/>
        <v>19</v>
      </c>
      <c r="J238" s="7">
        <v>5</v>
      </c>
      <c r="K238" s="7">
        <v>4</v>
      </c>
      <c r="L238" s="7">
        <v>3</v>
      </c>
      <c r="M238" s="10">
        <f t="shared" si="13"/>
        <v>4</v>
      </c>
      <c r="N238" s="11" t="str">
        <f t="shared" si="14"/>
        <v>Good</v>
      </c>
      <c r="O238" s="8" t="s">
        <v>14</v>
      </c>
    </row>
    <row r="239" spans="1:15" x14ac:dyDescent="0.3">
      <c r="A239" s="7">
        <v>70163</v>
      </c>
      <c r="B239" s="8" t="s">
        <v>11</v>
      </c>
      <c r="C239" s="8" t="s">
        <v>12</v>
      </c>
      <c r="D239" s="8" t="s">
        <v>19</v>
      </c>
      <c r="E239" s="7">
        <v>350</v>
      </c>
      <c r="F239" s="11" t="str">
        <f t="shared" si="15"/>
        <v>Short</v>
      </c>
      <c r="G239" s="7">
        <v>5</v>
      </c>
      <c r="H239" s="7">
        <v>10</v>
      </c>
      <c r="I239">
        <f t="shared" si="12"/>
        <v>10</v>
      </c>
      <c r="J239" s="7">
        <v>2</v>
      </c>
      <c r="K239" s="7">
        <v>4</v>
      </c>
      <c r="L239" s="7">
        <v>5</v>
      </c>
      <c r="M239" s="10">
        <f t="shared" si="13"/>
        <v>3.6666666666666665</v>
      </c>
      <c r="N239" s="11" t="str">
        <f t="shared" si="14"/>
        <v>Good</v>
      </c>
      <c r="O239" s="8" t="s">
        <v>16</v>
      </c>
    </row>
    <row r="240" spans="1:15" x14ac:dyDescent="0.3">
      <c r="A240" s="7">
        <v>70091</v>
      </c>
      <c r="B240" s="8" t="s">
        <v>11</v>
      </c>
      <c r="C240" s="8" t="s">
        <v>12</v>
      </c>
      <c r="D240" s="8" t="s">
        <v>19</v>
      </c>
      <c r="E240" s="7">
        <v>2650</v>
      </c>
      <c r="F240" s="11" t="str">
        <f t="shared" si="15"/>
        <v>Long</v>
      </c>
      <c r="G240" s="7">
        <v>90</v>
      </c>
      <c r="H240" s="7">
        <v>89</v>
      </c>
      <c r="I240">
        <f t="shared" si="12"/>
        <v>89</v>
      </c>
      <c r="J240" s="7">
        <v>3</v>
      </c>
      <c r="K240" s="7">
        <v>1</v>
      </c>
      <c r="L240" s="7">
        <v>5</v>
      </c>
      <c r="M240" s="10">
        <f t="shared" si="13"/>
        <v>3</v>
      </c>
      <c r="N240" s="11" t="str">
        <f t="shared" si="14"/>
        <v>Average</v>
      </c>
      <c r="O240" s="8" t="s">
        <v>14</v>
      </c>
    </row>
    <row r="241" spans="1:15" x14ac:dyDescent="0.3">
      <c r="A241" s="7">
        <v>70233</v>
      </c>
      <c r="B241" s="8" t="s">
        <v>11</v>
      </c>
      <c r="C241" s="8" t="s">
        <v>18</v>
      </c>
      <c r="D241" s="8" t="s">
        <v>19</v>
      </c>
      <c r="E241" s="7">
        <v>406</v>
      </c>
      <c r="F241" s="11" t="str">
        <f t="shared" si="15"/>
        <v>Short</v>
      </c>
      <c r="G241" s="7">
        <v>5</v>
      </c>
      <c r="H241" s="7">
        <v>12</v>
      </c>
      <c r="I241">
        <f t="shared" si="12"/>
        <v>12</v>
      </c>
      <c r="J241" s="7">
        <v>5</v>
      </c>
      <c r="K241" s="7">
        <v>5</v>
      </c>
      <c r="L241" s="7">
        <v>2</v>
      </c>
      <c r="M241" s="10">
        <f t="shared" si="13"/>
        <v>4</v>
      </c>
      <c r="N241" s="11" t="str">
        <f t="shared" si="14"/>
        <v>Good</v>
      </c>
      <c r="O241" s="8" t="s">
        <v>16</v>
      </c>
    </row>
    <row r="242" spans="1:15" x14ac:dyDescent="0.3">
      <c r="A242" s="7">
        <v>70202</v>
      </c>
      <c r="B242" s="8" t="s">
        <v>17</v>
      </c>
      <c r="C242" s="8" t="s">
        <v>18</v>
      </c>
      <c r="D242" s="8" t="s">
        <v>13</v>
      </c>
      <c r="E242" s="7">
        <v>756</v>
      </c>
      <c r="F242" s="11" t="str">
        <f t="shared" si="15"/>
        <v>Medium</v>
      </c>
      <c r="G242" s="7">
        <v>5</v>
      </c>
      <c r="H242" s="7">
        <v>15</v>
      </c>
      <c r="I242">
        <f t="shared" si="12"/>
        <v>15</v>
      </c>
      <c r="J242" s="7">
        <v>1</v>
      </c>
      <c r="K242" s="7">
        <v>4</v>
      </c>
      <c r="L242" s="7">
        <v>3</v>
      </c>
      <c r="M242" s="10">
        <f t="shared" si="13"/>
        <v>2.6666666666666665</v>
      </c>
      <c r="N242" s="11" t="str">
        <f t="shared" si="14"/>
        <v>Average</v>
      </c>
      <c r="O242" s="8" t="s">
        <v>14</v>
      </c>
    </row>
    <row r="243" spans="1:15" x14ac:dyDescent="0.3">
      <c r="A243" s="7">
        <v>70058</v>
      </c>
      <c r="B243" s="8" t="s">
        <v>17</v>
      </c>
      <c r="C243" s="8" t="s">
        <v>12</v>
      </c>
      <c r="D243" s="8" t="s">
        <v>19</v>
      </c>
      <c r="E243" s="7">
        <v>1553</v>
      </c>
      <c r="F243" s="11" t="str">
        <f t="shared" si="15"/>
        <v>Long</v>
      </c>
      <c r="G243" s="7">
        <v>0</v>
      </c>
      <c r="H243" s="7">
        <v>3</v>
      </c>
      <c r="I243">
        <f t="shared" si="12"/>
        <v>3</v>
      </c>
      <c r="J243" s="7">
        <v>3</v>
      </c>
      <c r="K243" s="7">
        <v>2</v>
      </c>
      <c r="L243" s="7">
        <v>3</v>
      </c>
      <c r="M243" s="10">
        <f t="shared" si="13"/>
        <v>2.6666666666666665</v>
      </c>
      <c r="N243" s="11" t="str">
        <f t="shared" si="14"/>
        <v>Average</v>
      </c>
      <c r="O243" s="8" t="s">
        <v>14</v>
      </c>
    </row>
    <row r="244" spans="1:15" x14ac:dyDescent="0.3">
      <c r="A244" s="7">
        <v>70119</v>
      </c>
      <c r="B244" s="8" t="s">
        <v>11</v>
      </c>
      <c r="C244" s="8" t="s">
        <v>12</v>
      </c>
      <c r="D244" s="8" t="s">
        <v>13</v>
      </c>
      <c r="E244" s="7">
        <v>2408</v>
      </c>
      <c r="F244" s="11" t="str">
        <f t="shared" si="15"/>
        <v>Long</v>
      </c>
      <c r="G244" s="7">
        <v>90</v>
      </c>
      <c r="H244" s="7">
        <v>95</v>
      </c>
      <c r="I244">
        <f t="shared" si="12"/>
        <v>95</v>
      </c>
      <c r="J244" s="7">
        <v>2</v>
      </c>
      <c r="K244" s="7">
        <v>5</v>
      </c>
      <c r="L244" s="7">
        <v>4</v>
      </c>
      <c r="M244" s="10">
        <f t="shared" si="13"/>
        <v>3.6666666666666665</v>
      </c>
      <c r="N244" s="11" t="str">
        <f t="shared" si="14"/>
        <v>Good</v>
      </c>
      <c r="O244" s="8" t="s">
        <v>14</v>
      </c>
    </row>
    <row r="245" spans="1:15" x14ac:dyDescent="0.3">
      <c r="A245" s="7">
        <v>70034</v>
      </c>
      <c r="B245" s="8" t="s">
        <v>11</v>
      </c>
      <c r="C245" s="8" t="s">
        <v>12</v>
      </c>
      <c r="D245" s="8" t="s">
        <v>15</v>
      </c>
      <c r="E245" s="7">
        <v>2853</v>
      </c>
      <c r="F245" s="11" t="str">
        <f t="shared" si="15"/>
        <v>Long</v>
      </c>
      <c r="G245" s="7">
        <v>0</v>
      </c>
      <c r="H245" s="7">
        <v>0</v>
      </c>
      <c r="I245">
        <f t="shared" si="12"/>
        <v>0</v>
      </c>
      <c r="J245" s="7">
        <v>5</v>
      </c>
      <c r="K245" s="7">
        <v>1</v>
      </c>
      <c r="L245" s="7">
        <v>3</v>
      </c>
      <c r="M245" s="10">
        <f t="shared" si="13"/>
        <v>3</v>
      </c>
      <c r="N245" s="11" t="str">
        <f t="shared" si="14"/>
        <v>Average</v>
      </c>
      <c r="O245" s="8" t="s">
        <v>14</v>
      </c>
    </row>
    <row r="246" spans="1:15" x14ac:dyDescent="0.3">
      <c r="A246" s="7">
        <v>70231</v>
      </c>
      <c r="B246" s="8" t="s">
        <v>17</v>
      </c>
      <c r="C246" s="8" t="s">
        <v>18</v>
      </c>
      <c r="D246" s="8" t="s">
        <v>19</v>
      </c>
      <c r="E246" s="7">
        <v>1477</v>
      </c>
      <c r="F246" s="11" t="str">
        <f t="shared" si="15"/>
        <v>Medium</v>
      </c>
      <c r="G246" s="7">
        <v>40</v>
      </c>
      <c r="H246" s="7">
        <v>49</v>
      </c>
      <c r="I246">
        <f t="shared" si="12"/>
        <v>49</v>
      </c>
      <c r="J246" s="7">
        <v>3</v>
      </c>
      <c r="K246" s="7">
        <v>1</v>
      </c>
      <c r="L246" s="7">
        <v>5</v>
      </c>
      <c r="M246" s="10">
        <f t="shared" si="13"/>
        <v>3</v>
      </c>
      <c r="N246" s="11" t="str">
        <f t="shared" si="14"/>
        <v>Average</v>
      </c>
      <c r="O246" s="8" t="s">
        <v>14</v>
      </c>
    </row>
    <row r="247" spans="1:15" x14ac:dyDescent="0.3">
      <c r="A247" s="7">
        <v>70083</v>
      </c>
      <c r="B247" s="8" t="s">
        <v>11</v>
      </c>
      <c r="C247" s="8" t="s">
        <v>18</v>
      </c>
      <c r="D247" s="8" t="s">
        <v>15</v>
      </c>
      <c r="E247" s="7">
        <v>869</v>
      </c>
      <c r="F247" s="11" t="str">
        <f t="shared" si="15"/>
        <v>Medium</v>
      </c>
      <c r="G247" s="7">
        <v>90</v>
      </c>
      <c r="H247" s="7">
        <v>89</v>
      </c>
      <c r="I247">
        <f t="shared" si="12"/>
        <v>89</v>
      </c>
      <c r="J247" s="7">
        <v>3</v>
      </c>
      <c r="K247" s="7">
        <v>1</v>
      </c>
      <c r="L247" s="7">
        <v>3</v>
      </c>
      <c r="M247" s="10">
        <f t="shared" si="13"/>
        <v>2.3333333333333335</v>
      </c>
      <c r="N247" s="11" t="str">
        <f t="shared" si="14"/>
        <v>Poor</v>
      </c>
      <c r="O247" s="8" t="s">
        <v>16</v>
      </c>
    </row>
    <row r="248" spans="1:15" x14ac:dyDescent="0.3">
      <c r="A248" s="7">
        <v>70176</v>
      </c>
      <c r="B248" s="8" t="s">
        <v>11</v>
      </c>
      <c r="C248" s="8" t="s">
        <v>18</v>
      </c>
      <c r="D248" s="8" t="s">
        <v>19</v>
      </c>
      <c r="E248" s="7">
        <v>2626</v>
      </c>
      <c r="F248" s="11" t="str">
        <f t="shared" si="15"/>
        <v>Long</v>
      </c>
      <c r="G248" s="7">
        <v>90</v>
      </c>
      <c r="H248" s="7">
        <v>86</v>
      </c>
      <c r="I248">
        <f t="shared" si="12"/>
        <v>86</v>
      </c>
      <c r="J248" s="7">
        <v>2</v>
      </c>
      <c r="K248" s="7">
        <v>2</v>
      </c>
      <c r="L248" s="7">
        <v>1</v>
      </c>
      <c r="M248" s="10">
        <f t="shared" si="13"/>
        <v>1.6666666666666667</v>
      </c>
      <c r="N248" s="11" t="str">
        <f t="shared" si="14"/>
        <v>Poor</v>
      </c>
      <c r="O248" s="8" t="s">
        <v>14</v>
      </c>
    </row>
    <row r="249" spans="1:15" x14ac:dyDescent="0.3">
      <c r="A249" s="7">
        <v>70067</v>
      </c>
      <c r="B249" s="8" t="s">
        <v>17</v>
      </c>
      <c r="C249" s="8" t="s">
        <v>12</v>
      </c>
      <c r="D249" s="8" t="s">
        <v>13</v>
      </c>
      <c r="E249" s="7">
        <v>2365</v>
      </c>
      <c r="F249" s="11" t="str">
        <f t="shared" si="15"/>
        <v>Long</v>
      </c>
      <c r="G249" s="7">
        <v>15</v>
      </c>
      <c r="H249" s="7">
        <v>22</v>
      </c>
      <c r="I249">
        <f t="shared" si="12"/>
        <v>22</v>
      </c>
      <c r="J249" s="7">
        <v>2</v>
      </c>
      <c r="K249" s="7">
        <v>3</v>
      </c>
      <c r="L249" s="7">
        <v>5</v>
      </c>
      <c r="M249" s="10">
        <f t="shared" si="13"/>
        <v>3.3333333333333335</v>
      </c>
      <c r="N249" s="11" t="str">
        <f t="shared" si="14"/>
        <v>Average</v>
      </c>
      <c r="O249" s="8" t="s">
        <v>16</v>
      </c>
    </row>
    <row r="250" spans="1:15" x14ac:dyDescent="0.3">
      <c r="A250" s="7">
        <v>70127</v>
      </c>
      <c r="B250" s="8" t="s">
        <v>11</v>
      </c>
      <c r="C250" s="8" t="s">
        <v>18</v>
      </c>
      <c r="D250" s="8" t="s">
        <v>15</v>
      </c>
      <c r="E250" s="7">
        <v>1863</v>
      </c>
      <c r="F250" s="11" t="str">
        <f t="shared" si="15"/>
        <v>Long</v>
      </c>
      <c r="G250" s="7">
        <v>5</v>
      </c>
      <c r="H250" s="7">
        <v>15</v>
      </c>
      <c r="I250">
        <f t="shared" si="12"/>
        <v>15</v>
      </c>
      <c r="J250" s="7">
        <v>4</v>
      </c>
      <c r="K250" s="7">
        <v>4</v>
      </c>
      <c r="L250" s="7">
        <v>1</v>
      </c>
      <c r="M250" s="10">
        <f t="shared" si="13"/>
        <v>3</v>
      </c>
      <c r="N250" s="11" t="str">
        <f t="shared" si="14"/>
        <v>Average</v>
      </c>
      <c r="O250" s="8" t="s">
        <v>16</v>
      </c>
    </row>
    <row r="251" spans="1:15" x14ac:dyDescent="0.3">
      <c r="A251" s="7">
        <v>70035</v>
      </c>
      <c r="B251" s="8" t="s">
        <v>11</v>
      </c>
      <c r="C251" s="8" t="s">
        <v>12</v>
      </c>
      <c r="D251" s="8" t="s">
        <v>19</v>
      </c>
      <c r="E251" s="7">
        <v>2188</v>
      </c>
      <c r="F251" s="11" t="str">
        <f t="shared" si="15"/>
        <v>Long</v>
      </c>
      <c r="G251" s="7">
        <v>0</v>
      </c>
      <c r="H251" s="7">
        <v>5</v>
      </c>
      <c r="I251">
        <f t="shared" si="12"/>
        <v>5</v>
      </c>
      <c r="J251" s="7">
        <v>2</v>
      </c>
      <c r="K251" s="7">
        <v>5</v>
      </c>
      <c r="L251" s="7">
        <v>3</v>
      </c>
      <c r="M251" s="10">
        <f t="shared" si="13"/>
        <v>3.3333333333333335</v>
      </c>
      <c r="N251" s="11" t="str">
        <f t="shared" si="14"/>
        <v>Average</v>
      </c>
      <c r="O251" s="8" t="s">
        <v>16</v>
      </c>
    </row>
    <row r="252" spans="1:15" x14ac:dyDescent="0.3">
      <c r="A252"/>
      <c r="B252"/>
      <c r="C252"/>
      <c r="D252"/>
      <c r="E252"/>
      <c r="F252" s="11"/>
      <c r="G252"/>
      <c r="H252"/>
      <c r="I252"/>
      <c r="J252"/>
      <c r="K252"/>
      <c r="L252"/>
      <c r="M252" s="11"/>
      <c r="N252" s="11"/>
      <c r="O252"/>
    </row>
    <row r="253" spans="1:15" x14ac:dyDescent="0.3">
      <c r="A253"/>
      <c r="B253"/>
      <c r="C253"/>
      <c r="D253"/>
      <c r="E253"/>
      <c r="F253" s="11"/>
      <c r="G253"/>
      <c r="H253"/>
      <c r="I253"/>
      <c r="J253"/>
      <c r="K253"/>
      <c r="L253"/>
      <c r="M253" s="11"/>
      <c r="N253" s="11"/>
      <c r="O253"/>
    </row>
    <row r="254" spans="1:15" x14ac:dyDescent="0.3">
      <c r="A254"/>
      <c r="B254"/>
      <c r="C254"/>
      <c r="D254"/>
      <c r="E254"/>
      <c r="F254" s="11"/>
      <c r="G254"/>
      <c r="H254"/>
      <c r="I254"/>
      <c r="J254"/>
      <c r="K254"/>
      <c r="L254"/>
      <c r="M254" s="11"/>
      <c r="N254" s="11"/>
      <c r="O254"/>
    </row>
    <row r="255" spans="1:15" x14ac:dyDescent="0.3">
      <c r="A255"/>
      <c r="B255"/>
      <c r="C255"/>
      <c r="D255"/>
      <c r="E255"/>
      <c r="F255" s="11"/>
      <c r="G255"/>
      <c r="H255"/>
      <c r="I255"/>
      <c r="J255"/>
      <c r="K255"/>
      <c r="L255"/>
      <c r="M255" s="11"/>
      <c r="N255" s="11"/>
      <c r="O255"/>
    </row>
    <row r="256" spans="1:15" x14ac:dyDescent="0.3">
      <c r="A256"/>
      <c r="B256"/>
      <c r="C256"/>
      <c r="D256"/>
      <c r="E256"/>
      <c r="F256" s="11"/>
      <c r="G256"/>
      <c r="H256"/>
      <c r="I256"/>
      <c r="J256"/>
      <c r="K256"/>
      <c r="L256"/>
      <c r="M256" s="11"/>
      <c r="N256" s="11"/>
      <c r="O256"/>
    </row>
    <row r="257" spans="1:15" x14ac:dyDescent="0.3">
      <c r="A257"/>
      <c r="B257"/>
      <c r="C257"/>
      <c r="D257"/>
      <c r="E257"/>
      <c r="F257" s="11"/>
      <c r="G257"/>
      <c r="H257"/>
      <c r="I257"/>
      <c r="J257"/>
      <c r="K257"/>
      <c r="L257"/>
      <c r="M257" s="11"/>
      <c r="N257" s="11"/>
      <c r="O257"/>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3"/>
  <sheetViews>
    <sheetView workbookViewId="0">
      <selection activeCell="E17" sqref="E17"/>
    </sheetView>
  </sheetViews>
  <sheetFormatPr defaultRowHeight="14.4" x14ac:dyDescent="0.3"/>
  <cols>
    <col min="1" max="1" width="15.88671875" customWidth="1"/>
    <col min="2" max="2" width="11.21875" customWidth="1"/>
    <col min="3" max="3" width="20.21875" customWidth="1"/>
    <col min="4" max="4" width="15.77734375" style="12" customWidth="1"/>
  </cols>
  <sheetData>
    <row r="1" spans="1:4" x14ac:dyDescent="0.3">
      <c r="A1" s="30"/>
      <c r="B1" s="30"/>
      <c r="C1" s="31"/>
      <c r="D1" s="32"/>
    </row>
    <row r="2" spans="1:4" x14ac:dyDescent="0.3">
      <c r="A2" s="18"/>
      <c r="B2" s="30"/>
      <c r="C2" s="30"/>
      <c r="D2" s="32"/>
    </row>
    <row r="3" spans="1:4" x14ac:dyDescent="0.3">
      <c r="A3" s="18"/>
      <c r="B3" s="30"/>
      <c r="C3" s="30"/>
      <c r="D3" s="32"/>
    </row>
    <row r="4" spans="1:4" x14ac:dyDescent="0.3">
      <c r="A4" s="18"/>
      <c r="B4" s="30"/>
      <c r="C4" s="30"/>
      <c r="D4" s="32"/>
    </row>
    <row r="5" spans="1:4" x14ac:dyDescent="0.3">
      <c r="A5" s="33"/>
      <c r="B5" s="30"/>
      <c r="C5" s="30"/>
      <c r="D5" s="34"/>
    </row>
    <row r="6" spans="1:4" x14ac:dyDescent="0.3">
      <c r="A6" s="38"/>
      <c r="B6" s="38"/>
      <c r="C6" s="38"/>
      <c r="D6" s="38"/>
    </row>
    <row r="7" spans="1:4" x14ac:dyDescent="0.3">
      <c r="A7" s="40" t="s">
        <v>27</v>
      </c>
      <c r="B7" s="41"/>
      <c r="C7" s="41"/>
      <c r="D7" s="41"/>
    </row>
    <row r="8" spans="1:4" x14ac:dyDescent="0.3">
      <c r="A8" s="17" t="s">
        <v>2</v>
      </c>
      <c r="B8" s="13" t="s">
        <v>16</v>
      </c>
      <c r="C8" s="13" t="s">
        <v>24</v>
      </c>
      <c r="D8" s="15" t="s">
        <v>26</v>
      </c>
    </row>
    <row r="9" spans="1:4" x14ac:dyDescent="0.3">
      <c r="A9" s="16" t="s">
        <v>18</v>
      </c>
      <c r="B9" s="14">
        <f>COUNTIFS('Clean Data'!$C:$C,A9,'Clean Data'!$O:$O,"Satisfied")</f>
        <v>59</v>
      </c>
      <c r="C9" s="14">
        <f>COUNTIF('Clean Data'!$C:$C,A9)</f>
        <v>120</v>
      </c>
      <c r="D9" s="23">
        <f>IFERROR(B9/C9,0)</f>
        <v>0.49166666666666664</v>
      </c>
    </row>
    <row r="10" spans="1:4" x14ac:dyDescent="0.3">
      <c r="A10" s="16" t="s">
        <v>12</v>
      </c>
      <c r="B10" s="14">
        <f>COUNTIFS('Clean Data'!$C:$C,A10,'Clean Data'!$O:$O,"Satisfied")</f>
        <v>67</v>
      </c>
      <c r="C10" s="14">
        <f>COUNTIF('Clean Data'!$C:$C,A10)</f>
        <v>130</v>
      </c>
      <c r="D10" s="23">
        <f>IFERROR(B10/C10,0)</f>
        <v>0.51538461538461533</v>
      </c>
    </row>
    <row r="11" spans="1:4" x14ac:dyDescent="0.3">
      <c r="A11" s="21" t="s">
        <v>28</v>
      </c>
      <c r="B11" s="14">
        <f>SUM(B9:B10)</f>
        <v>126</v>
      </c>
      <c r="C11" s="14">
        <f>SUM(C9:C10)</f>
        <v>250</v>
      </c>
      <c r="D11" s="24">
        <f>IFERROR(B11/C11,0)</f>
        <v>0.504</v>
      </c>
    </row>
    <row r="12" spans="1:4" x14ac:dyDescent="0.3">
      <c r="A12" s="39"/>
      <c r="B12" s="39"/>
      <c r="C12" s="39"/>
      <c r="D12" s="39"/>
    </row>
    <row r="13" spans="1:4" x14ac:dyDescent="0.3">
      <c r="A13" s="18"/>
      <c r="B13" s="19"/>
      <c r="C13" s="19"/>
      <c r="D13" s="20"/>
    </row>
    <row r="14" spans="1:4" x14ac:dyDescent="0.3">
      <c r="A14" s="8"/>
    </row>
    <row r="15" spans="1:4" x14ac:dyDescent="0.3">
      <c r="A15" s="8"/>
    </row>
    <row r="16" spans="1:4" x14ac:dyDescent="0.3">
      <c r="A16" s="8"/>
    </row>
    <row r="17" spans="1:4" x14ac:dyDescent="0.3">
      <c r="A17" s="40" t="s">
        <v>38</v>
      </c>
      <c r="B17" s="41"/>
      <c r="C17" s="41"/>
      <c r="D17" s="41"/>
    </row>
    <row r="18" spans="1:4" x14ac:dyDescent="0.3">
      <c r="A18" s="13" t="s">
        <v>3</v>
      </c>
      <c r="B18" s="13" t="s">
        <v>16</v>
      </c>
      <c r="C18" s="14" t="s">
        <v>24</v>
      </c>
      <c r="D18" s="15" t="s">
        <v>25</v>
      </c>
    </row>
    <row r="19" spans="1:4" x14ac:dyDescent="0.3">
      <c r="A19" s="16" t="s">
        <v>13</v>
      </c>
      <c r="B19" s="13">
        <f>COUNTIFS('Clean Data'!$D:$D,A19,'Clean Data'!$O:$O,"Satisfied")</f>
        <v>42</v>
      </c>
      <c r="C19" s="13">
        <f>COUNTIF('Clean Data'!$D:$D,A19)</f>
        <v>94</v>
      </c>
      <c r="D19" s="15">
        <f>IFERROR(B19/C19,0)</f>
        <v>0.44680851063829785</v>
      </c>
    </row>
    <row r="20" spans="1:4" x14ac:dyDescent="0.3">
      <c r="A20" s="16" t="s">
        <v>15</v>
      </c>
      <c r="B20" s="13">
        <f>COUNTIFS('Clean Data'!$D:$D,A20,'Clean Data'!$O:$O,"Satisfied")</f>
        <v>54</v>
      </c>
      <c r="C20" s="13">
        <f>COUNTIF('Clean Data'!$D:$D,A20)</f>
        <v>80</v>
      </c>
      <c r="D20" s="15">
        <f>IFERROR(B20/C20,0)</f>
        <v>0.67500000000000004</v>
      </c>
    </row>
    <row r="21" spans="1:4" x14ac:dyDescent="0.3">
      <c r="A21" s="16" t="s">
        <v>19</v>
      </c>
      <c r="B21" s="13">
        <f>COUNTIFS('Clean Data'!$D:$D,A21,'Clean Data'!$O:$O,"Satisfied")</f>
        <v>30</v>
      </c>
      <c r="C21" s="13">
        <f>COUNTIF('Clean Data'!$D:$D,A21)</f>
        <v>76</v>
      </c>
      <c r="D21" s="15">
        <f>IFERROR(B21/C21,0)</f>
        <v>0.39473684210526316</v>
      </c>
    </row>
    <row r="22" spans="1:4" x14ac:dyDescent="0.3">
      <c r="A22" s="17" t="s">
        <v>28</v>
      </c>
      <c r="B22" s="13">
        <f>SUM(B19:B21)</f>
        <v>126</v>
      </c>
      <c r="C22" s="13">
        <f>SUM(C19:C21)</f>
        <v>250</v>
      </c>
      <c r="D22" s="22">
        <f>IFERROR(B22/C22,0)</f>
        <v>0.504</v>
      </c>
    </row>
    <row r="23" spans="1:4" x14ac:dyDescent="0.3">
      <c r="A23" s="8"/>
    </row>
    <row r="24" spans="1:4" x14ac:dyDescent="0.3">
      <c r="A24" s="8"/>
    </row>
    <row r="25" spans="1:4" x14ac:dyDescent="0.3">
      <c r="A25" s="8"/>
    </row>
    <row r="26" spans="1:4" x14ac:dyDescent="0.3">
      <c r="A26" s="8"/>
    </row>
    <row r="27" spans="1:4" x14ac:dyDescent="0.3">
      <c r="A27" s="8"/>
    </row>
    <row r="28" spans="1:4" x14ac:dyDescent="0.3">
      <c r="A28" s="8"/>
    </row>
    <row r="29" spans="1:4" x14ac:dyDescent="0.3">
      <c r="A29" s="8"/>
    </row>
    <row r="30" spans="1:4" x14ac:dyDescent="0.3">
      <c r="A30" s="8"/>
    </row>
    <row r="31" spans="1:4" x14ac:dyDescent="0.3">
      <c r="A31" s="8"/>
    </row>
    <row r="32" spans="1:4" x14ac:dyDescent="0.3">
      <c r="A32" s="8"/>
    </row>
    <row r="33" spans="1:1" x14ac:dyDescent="0.3">
      <c r="A33" s="8"/>
    </row>
    <row r="34" spans="1:1" x14ac:dyDescent="0.3">
      <c r="A34" s="8"/>
    </row>
    <row r="35" spans="1:1" x14ac:dyDescent="0.3">
      <c r="A35" s="8"/>
    </row>
    <row r="36" spans="1:1" x14ac:dyDescent="0.3">
      <c r="A36" s="8"/>
    </row>
    <row r="37" spans="1:1" x14ac:dyDescent="0.3">
      <c r="A37" s="8"/>
    </row>
    <row r="38" spans="1:1" x14ac:dyDescent="0.3">
      <c r="A38" s="8"/>
    </row>
    <row r="39" spans="1:1" x14ac:dyDescent="0.3">
      <c r="A39" s="8"/>
    </row>
    <row r="40" spans="1:1" x14ac:dyDescent="0.3">
      <c r="A40" s="8"/>
    </row>
    <row r="41" spans="1:1" x14ac:dyDescent="0.3">
      <c r="A41" s="8"/>
    </row>
    <row r="42" spans="1:1" x14ac:dyDescent="0.3">
      <c r="A42" s="8"/>
    </row>
    <row r="43" spans="1:1" x14ac:dyDescent="0.3">
      <c r="A43" s="8"/>
    </row>
    <row r="44" spans="1:1" x14ac:dyDescent="0.3">
      <c r="A44" s="8"/>
    </row>
    <row r="45" spans="1:1" x14ac:dyDescent="0.3">
      <c r="A45" s="8"/>
    </row>
    <row r="46" spans="1:1" x14ac:dyDescent="0.3">
      <c r="A46" s="8"/>
    </row>
    <row r="47" spans="1:1" x14ac:dyDescent="0.3">
      <c r="A47" s="8"/>
    </row>
    <row r="48" spans="1:1" x14ac:dyDescent="0.3">
      <c r="A48" s="8"/>
    </row>
    <row r="49" spans="1:1" x14ac:dyDescent="0.3">
      <c r="A49" s="8"/>
    </row>
    <row r="50" spans="1:1" x14ac:dyDescent="0.3">
      <c r="A50" s="8"/>
    </row>
    <row r="51" spans="1:1" x14ac:dyDescent="0.3">
      <c r="A51" s="8"/>
    </row>
    <row r="52" spans="1:1" x14ac:dyDescent="0.3">
      <c r="A52" s="8"/>
    </row>
    <row r="53" spans="1:1" x14ac:dyDescent="0.3">
      <c r="A53" s="8"/>
    </row>
    <row r="54" spans="1:1" x14ac:dyDescent="0.3">
      <c r="A54" s="8"/>
    </row>
    <row r="55" spans="1:1" x14ac:dyDescent="0.3">
      <c r="A55" s="8"/>
    </row>
    <row r="56" spans="1:1" x14ac:dyDescent="0.3">
      <c r="A56" s="8"/>
    </row>
    <row r="57" spans="1:1" x14ac:dyDescent="0.3">
      <c r="A57" s="8"/>
    </row>
    <row r="58" spans="1:1" x14ac:dyDescent="0.3">
      <c r="A58" s="8"/>
    </row>
    <row r="59" spans="1:1" x14ac:dyDescent="0.3">
      <c r="A59" s="8"/>
    </row>
    <row r="60" spans="1:1" x14ac:dyDescent="0.3">
      <c r="A60" s="8"/>
    </row>
    <row r="61" spans="1:1" x14ac:dyDescent="0.3">
      <c r="A61" s="8"/>
    </row>
    <row r="62" spans="1:1" x14ac:dyDescent="0.3">
      <c r="A62" s="8"/>
    </row>
    <row r="63" spans="1:1" x14ac:dyDescent="0.3">
      <c r="A63" s="8"/>
    </row>
    <row r="64" spans="1:1" x14ac:dyDescent="0.3">
      <c r="A64" s="8"/>
    </row>
    <row r="65" spans="1:1" x14ac:dyDescent="0.3">
      <c r="A65" s="8"/>
    </row>
    <row r="66" spans="1:1" x14ac:dyDescent="0.3">
      <c r="A66" s="8"/>
    </row>
    <row r="67" spans="1:1" x14ac:dyDescent="0.3">
      <c r="A67" s="8"/>
    </row>
    <row r="68" spans="1:1" x14ac:dyDescent="0.3">
      <c r="A68" s="8"/>
    </row>
    <row r="69" spans="1:1" x14ac:dyDescent="0.3">
      <c r="A69" s="8"/>
    </row>
    <row r="70" spans="1:1" x14ac:dyDescent="0.3">
      <c r="A70" s="8"/>
    </row>
    <row r="71" spans="1:1" x14ac:dyDescent="0.3">
      <c r="A71" s="8"/>
    </row>
    <row r="72" spans="1:1" x14ac:dyDescent="0.3">
      <c r="A72" s="8"/>
    </row>
    <row r="73" spans="1:1" x14ac:dyDescent="0.3">
      <c r="A73" s="8"/>
    </row>
    <row r="74" spans="1:1" x14ac:dyDescent="0.3">
      <c r="A74" s="8"/>
    </row>
    <row r="75" spans="1:1" x14ac:dyDescent="0.3">
      <c r="A75" s="8"/>
    </row>
    <row r="76" spans="1:1" x14ac:dyDescent="0.3">
      <c r="A76" s="8"/>
    </row>
    <row r="77" spans="1:1" x14ac:dyDescent="0.3">
      <c r="A77" s="8"/>
    </row>
    <row r="78" spans="1:1" x14ac:dyDescent="0.3">
      <c r="A78" s="8"/>
    </row>
    <row r="79" spans="1:1" x14ac:dyDescent="0.3">
      <c r="A79" s="8"/>
    </row>
    <row r="80" spans="1:1" x14ac:dyDescent="0.3">
      <c r="A80" s="8"/>
    </row>
    <row r="81" spans="1:1" x14ac:dyDescent="0.3">
      <c r="A81" s="8"/>
    </row>
    <row r="82" spans="1:1" x14ac:dyDescent="0.3">
      <c r="A82" s="8"/>
    </row>
    <row r="83" spans="1:1" x14ac:dyDescent="0.3">
      <c r="A83" s="8"/>
    </row>
    <row r="84" spans="1:1" x14ac:dyDescent="0.3">
      <c r="A84" s="8"/>
    </row>
    <row r="85" spans="1:1" x14ac:dyDescent="0.3">
      <c r="A85" s="8"/>
    </row>
    <row r="86" spans="1:1" x14ac:dyDescent="0.3">
      <c r="A86" s="8"/>
    </row>
    <row r="87" spans="1:1" x14ac:dyDescent="0.3">
      <c r="A87" s="8"/>
    </row>
    <row r="88" spans="1:1" x14ac:dyDescent="0.3">
      <c r="A88" s="8"/>
    </row>
    <row r="89" spans="1:1" x14ac:dyDescent="0.3">
      <c r="A89" s="8"/>
    </row>
    <row r="90" spans="1:1" x14ac:dyDescent="0.3">
      <c r="A90" s="8"/>
    </row>
    <row r="91" spans="1:1" x14ac:dyDescent="0.3">
      <c r="A91" s="8"/>
    </row>
    <row r="92" spans="1:1" x14ac:dyDescent="0.3">
      <c r="A92" s="8"/>
    </row>
    <row r="93" spans="1:1" x14ac:dyDescent="0.3">
      <c r="A93" s="8"/>
    </row>
    <row r="94" spans="1:1" x14ac:dyDescent="0.3">
      <c r="A94" s="8"/>
    </row>
    <row r="95" spans="1:1" x14ac:dyDescent="0.3">
      <c r="A95" s="8"/>
    </row>
    <row r="96" spans="1:1" x14ac:dyDescent="0.3">
      <c r="A96" s="8"/>
    </row>
    <row r="97" spans="1:1" x14ac:dyDescent="0.3">
      <c r="A97" s="8"/>
    </row>
    <row r="98" spans="1:1" x14ac:dyDescent="0.3">
      <c r="A98" s="8"/>
    </row>
    <row r="99" spans="1:1" x14ac:dyDescent="0.3">
      <c r="A99" s="8"/>
    </row>
    <row r="100" spans="1:1" x14ac:dyDescent="0.3">
      <c r="A100" s="8"/>
    </row>
    <row r="101" spans="1:1" x14ac:dyDescent="0.3">
      <c r="A101" s="8"/>
    </row>
    <row r="102" spans="1:1" x14ac:dyDescent="0.3">
      <c r="A102" s="8"/>
    </row>
    <row r="103" spans="1:1" x14ac:dyDescent="0.3">
      <c r="A103" s="8"/>
    </row>
    <row r="104" spans="1:1" x14ac:dyDescent="0.3">
      <c r="A104" s="8"/>
    </row>
    <row r="105" spans="1:1" x14ac:dyDescent="0.3">
      <c r="A105" s="8"/>
    </row>
    <row r="106" spans="1:1" x14ac:dyDescent="0.3">
      <c r="A106" s="8"/>
    </row>
    <row r="107" spans="1:1" x14ac:dyDescent="0.3">
      <c r="A107" s="8"/>
    </row>
    <row r="108" spans="1:1" x14ac:dyDescent="0.3">
      <c r="A108" s="8"/>
    </row>
    <row r="109" spans="1:1" x14ac:dyDescent="0.3">
      <c r="A109" s="8"/>
    </row>
    <row r="110" spans="1:1" x14ac:dyDescent="0.3">
      <c r="A110" s="8"/>
    </row>
    <row r="111" spans="1:1" x14ac:dyDescent="0.3">
      <c r="A111" s="8"/>
    </row>
    <row r="112" spans="1:1" x14ac:dyDescent="0.3">
      <c r="A112" s="8"/>
    </row>
    <row r="113" spans="1:1" x14ac:dyDescent="0.3">
      <c r="A113" s="8"/>
    </row>
    <row r="114" spans="1:1" x14ac:dyDescent="0.3">
      <c r="A114" s="8"/>
    </row>
    <row r="115" spans="1:1" x14ac:dyDescent="0.3">
      <c r="A115" s="8"/>
    </row>
    <row r="116" spans="1:1" x14ac:dyDescent="0.3">
      <c r="A116" s="8"/>
    </row>
    <row r="117" spans="1:1" x14ac:dyDescent="0.3">
      <c r="A117" s="8"/>
    </row>
    <row r="118" spans="1:1" x14ac:dyDescent="0.3">
      <c r="A118" s="8"/>
    </row>
    <row r="119" spans="1:1" x14ac:dyDescent="0.3">
      <c r="A119" s="8"/>
    </row>
    <row r="120" spans="1:1" x14ac:dyDescent="0.3">
      <c r="A120" s="8"/>
    </row>
    <row r="121" spans="1:1" x14ac:dyDescent="0.3">
      <c r="A121" s="8"/>
    </row>
    <row r="122" spans="1:1" x14ac:dyDescent="0.3">
      <c r="A122" s="8"/>
    </row>
    <row r="123" spans="1:1" x14ac:dyDescent="0.3">
      <c r="A123" s="8"/>
    </row>
    <row r="124" spans="1:1" x14ac:dyDescent="0.3">
      <c r="A124" s="8"/>
    </row>
    <row r="125" spans="1:1" x14ac:dyDescent="0.3">
      <c r="A125" s="8"/>
    </row>
    <row r="126" spans="1:1" x14ac:dyDescent="0.3">
      <c r="A126" s="8"/>
    </row>
    <row r="127" spans="1:1" x14ac:dyDescent="0.3">
      <c r="A127" s="8"/>
    </row>
    <row r="128" spans="1:1" x14ac:dyDescent="0.3">
      <c r="A128" s="8"/>
    </row>
    <row r="129" spans="1:1" x14ac:dyDescent="0.3">
      <c r="A129" s="8"/>
    </row>
    <row r="130" spans="1:1" x14ac:dyDescent="0.3">
      <c r="A130" s="8"/>
    </row>
    <row r="131" spans="1:1" x14ac:dyDescent="0.3">
      <c r="A131" s="8"/>
    </row>
    <row r="132" spans="1:1" x14ac:dyDescent="0.3">
      <c r="A132" s="8"/>
    </row>
    <row r="133" spans="1:1" x14ac:dyDescent="0.3">
      <c r="A133" s="8"/>
    </row>
    <row r="134" spans="1:1" x14ac:dyDescent="0.3">
      <c r="A134" s="8"/>
    </row>
    <row r="135" spans="1:1" x14ac:dyDescent="0.3">
      <c r="A135" s="8"/>
    </row>
    <row r="136" spans="1:1" x14ac:dyDescent="0.3">
      <c r="A136" s="8"/>
    </row>
    <row r="137" spans="1:1" x14ac:dyDescent="0.3">
      <c r="A137" s="8"/>
    </row>
    <row r="138" spans="1:1" x14ac:dyDescent="0.3">
      <c r="A138" s="8"/>
    </row>
    <row r="139" spans="1:1" x14ac:dyDescent="0.3">
      <c r="A139" s="8"/>
    </row>
    <row r="140" spans="1:1" x14ac:dyDescent="0.3">
      <c r="A140" s="8"/>
    </row>
    <row r="141" spans="1:1" x14ac:dyDescent="0.3">
      <c r="A141" s="8"/>
    </row>
    <row r="142" spans="1:1" x14ac:dyDescent="0.3">
      <c r="A142" s="8"/>
    </row>
    <row r="143" spans="1:1" x14ac:dyDescent="0.3">
      <c r="A143" s="8"/>
    </row>
    <row r="144" spans="1:1" x14ac:dyDescent="0.3">
      <c r="A144" s="8"/>
    </row>
    <row r="145" spans="1:1" x14ac:dyDescent="0.3">
      <c r="A145" s="8"/>
    </row>
    <row r="146" spans="1:1" x14ac:dyDescent="0.3">
      <c r="A146" s="8"/>
    </row>
    <row r="147" spans="1:1" x14ac:dyDescent="0.3">
      <c r="A147" s="8"/>
    </row>
    <row r="148" spans="1:1" x14ac:dyDescent="0.3">
      <c r="A148" s="8"/>
    </row>
    <row r="149" spans="1:1" x14ac:dyDescent="0.3">
      <c r="A149" s="8"/>
    </row>
    <row r="150" spans="1:1" x14ac:dyDescent="0.3">
      <c r="A150" s="8"/>
    </row>
    <row r="151" spans="1:1" x14ac:dyDescent="0.3">
      <c r="A151" s="8"/>
    </row>
    <row r="152" spans="1:1" x14ac:dyDescent="0.3">
      <c r="A152" s="8"/>
    </row>
    <row r="153" spans="1:1" x14ac:dyDescent="0.3">
      <c r="A153" s="8"/>
    </row>
    <row r="154" spans="1:1" x14ac:dyDescent="0.3">
      <c r="A154" s="8"/>
    </row>
    <row r="155" spans="1:1" x14ac:dyDescent="0.3">
      <c r="A155" s="8"/>
    </row>
    <row r="156" spans="1:1" x14ac:dyDescent="0.3">
      <c r="A156" s="8"/>
    </row>
    <row r="157" spans="1:1" x14ac:dyDescent="0.3">
      <c r="A157" s="8"/>
    </row>
    <row r="158" spans="1:1" x14ac:dyDescent="0.3">
      <c r="A158" s="8"/>
    </row>
    <row r="159" spans="1:1" x14ac:dyDescent="0.3">
      <c r="A159" s="8"/>
    </row>
    <row r="160" spans="1:1" x14ac:dyDescent="0.3">
      <c r="A160" s="8"/>
    </row>
    <row r="161" spans="1:1" x14ac:dyDescent="0.3">
      <c r="A161" s="8"/>
    </row>
    <row r="162" spans="1:1" x14ac:dyDescent="0.3">
      <c r="A162" s="8"/>
    </row>
    <row r="163" spans="1:1" x14ac:dyDescent="0.3">
      <c r="A163" s="8"/>
    </row>
    <row r="164" spans="1:1" x14ac:dyDescent="0.3">
      <c r="A164" s="8"/>
    </row>
    <row r="165" spans="1:1" x14ac:dyDescent="0.3">
      <c r="A165" s="8"/>
    </row>
    <row r="166" spans="1:1" x14ac:dyDescent="0.3">
      <c r="A166" s="8"/>
    </row>
    <row r="167" spans="1:1" x14ac:dyDescent="0.3">
      <c r="A167" s="8"/>
    </row>
    <row r="168" spans="1:1" x14ac:dyDescent="0.3">
      <c r="A168" s="8"/>
    </row>
    <row r="169" spans="1:1" x14ac:dyDescent="0.3">
      <c r="A169" s="8"/>
    </row>
    <row r="170" spans="1:1" x14ac:dyDescent="0.3">
      <c r="A170" s="8"/>
    </row>
    <row r="171" spans="1:1" x14ac:dyDescent="0.3">
      <c r="A171" s="8"/>
    </row>
    <row r="172" spans="1:1" x14ac:dyDescent="0.3">
      <c r="A172" s="8"/>
    </row>
    <row r="173" spans="1:1" x14ac:dyDescent="0.3">
      <c r="A173" s="8"/>
    </row>
    <row r="174" spans="1:1" x14ac:dyDescent="0.3">
      <c r="A174" s="8"/>
    </row>
    <row r="175" spans="1:1" x14ac:dyDescent="0.3">
      <c r="A175" s="8"/>
    </row>
    <row r="176" spans="1:1" x14ac:dyDescent="0.3">
      <c r="A176" s="8"/>
    </row>
    <row r="177" spans="1:1" x14ac:dyDescent="0.3">
      <c r="A177" s="8"/>
    </row>
    <row r="178" spans="1:1" x14ac:dyDescent="0.3">
      <c r="A178" s="8"/>
    </row>
    <row r="179" spans="1:1" x14ac:dyDescent="0.3">
      <c r="A179" s="8"/>
    </row>
    <row r="180" spans="1:1" x14ac:dyDescent="0.3">
      <c r="A180" s="8"/>
    </row>
    <row r="181" spans="1:1" x14ac:dyDescent="0.3">
      <c r="A181" s="8"/>
    </row>
    <row r="182" spans="1:1" x14ac:dyDescent="0.3">
      <c r="A182" s="8"/>
    </row>
    <row r="183" spans="1:1" x14ac:dyDescent="0.3">
      <c r="A183" s="8"/>
    </row>
    <row r="184" spans="1:1" x14ac:dyDescent="0.3">
      <c r="A184" s="8"/>
    </row>
    <row r="185" spans="1:1" x14ac:dyDescent="0.3">
      <c r="A185" s="8"/>
    </row>
    <row r="186" spans="1:1" x14ac:dyDescent="0.3">
      <c r="A186" s="8"/>
    </row>
    <row r="187" spans="1:1" x14ac:dyDescent="0.3">
      <c r="A187" s="8"/>
    </row>
    <row r="188" spans="1:1" x14ac:dyDescent="0.3">
      <c r="A188" s="8"/>
    </row>
    <row r="189" spans="1:1" x14ac:dyDescent="0.3">
      <c r="A189" s="8"/>
    </row>
    <row r="190" spans="1:1" x14ac:dyDescent="0.3">
      <c r="A190" s="8"/>
    </row>
    <row r="191" spans="1:1" x14ac:dyDescent="0.3">
      <c r="A191" s="8"/>
    </row>
    <row r="192" spans="1:1" x14ac:dyDescent="0.3">
      <c r="A192" s="8"/>
    </row>
    <row r="193" spans="1:1" x14ac:dyDescent="0.3">
      <c r="A193" s="8"/>
    </row>
    <row r="194" spans="1:1" x14ac:dyDescent="0.3">
      <c r="A194" s="8"/>
    </row>
    <row r="195" spans="1:1" x14ac:dyDescent="0.3">
      <c r="A195" s="8"/>
    </row>
    <row r="196" spans="1:1" x14ac:dyDescent="0.3">
      <c r="A196" s="8"/>
    </row>
    <row r="197" spans="1:1" x14ac:dyDescent="0.3">
      <c r="A197" s="8"/>
    </row>
    <row r="198" spans="1:1" x14ac:dyDescent="0.3">
      <c r="A198" s="8"/>
    </row>
    <row r="199" spans="1:1" x14ac:dyDescent="0.3">
      <c r="A199" s="8"/>
    </row>
    <row r="200" spans="1:1" x14ac:dyDescent="0.3">
      <c r="A200" s="8"/>
    </row>
    <row r="201" spans="1:1" x14ac:dyDescent="0.3">
      <c r="A201" s="8"/>
    </row>
    <row r="202" spans="1:1" x14ac:dyDescent="0.3">
      <c r="A202" s="8"/>
    </row>
    <row r="203" spans="1:1" x14ac:dyDescent="0.3">
      <c r="A203" s="8"/>
    </row>
    <row r="204" spans="1:1" x14ac:dyDescent="0.3">
      <c r="A204" s="8"/>
    </row>
    <row r="205" spans="1:1" x14ac:dyDescent="0.3">
      <c r="A205" s="8"/>
    </row>
    <row r="206" spans="1:1" x14ac:dyDescent="0.3">
      <c r="A206" s="8"/>
    </row>
    <row r="207" spans="1:1" x14ac:dyDescent="0.3">
      <c r="A207" s="8"/>
    </row>
    <row r="208" spans="1:1" x14ac:dyDescent="0.3">
      <c r="A208" s="8"/>
    </row>
    <row r="209" spans="1:1" x14ac:dyDescent="0.3">
      <c r="A209" s="8"/>
    </row>
    <row r="210" spans="1:1" x14ac:dyDescent="0.3">
      <c r="A210" s="8"/>
    </row>
    <row r="211" spans="1:1" x14ac:dyDescent="0.3">
      <c r="A211" s="8"/>
    </row>
    <row r="212" spans="1:1" x14ac:dyDescent="0.3">
      <c r="A212" s="8"/>
    </row>
    <row r="213" spans="1:1" x14ac:dyDescent="0.3">
      <c r="A213" s="8"/>
    </row>
    <row r="214" spans="1:1" x14ac:dyDescent="0.3">
      <c r="A214" s="8"/>
    </row>
    <row r="215" spans="1:1" x14ac:dyDescent="0.3">
      <c r="A215" s="8"/>
    </row>
    <row r="216" spans="1:1" x14ac:dyDescent="0.3">
      <c r="A216" s="8"/>
    </row>
    <row r="217" spans="1:1" x14ac:dyDescent="0.3">
      <c r="A217" s="8"/>
    </row>
    <row r="218" spans="1:1" x14ac:dyDescent="0.3">
      <c r="A218" s="8"/>
    </row>
    <row r="219" spans="1:1" x14ac:dyDescent="0.3">
      <c r="A219" s="8"/>
    </row>
    <row r="220" spans="1:1" x14ac:dyDescent="0.3">
      <c r="A220" s="8"/>
    </row>
    <row r="221" spans="1:1" x14ac:dyDescent="0.3">
      <c r="A221" s="8"/>
    </row>
    <row r="222" spans="1:1" x14ac:dyDescent="0.3">
      <c r="A222" s="8"/>
    </row>
    <row r="223" spans="1:1" x14ac:dyDescent="0.3">
      <c r="A223" s="8"/>
    </row>
    <row r="224" spans="1:1" x14ac:dyDescent="0.3">
      <c r="A224" s="8"/>
    </row>
    <row r="225" spans="1:1" x14ac:dyDescent="0.3">
      <c r="A225" s="8"/>
    </row>
    <row r="226" spans="1:1" x14ac:dyDescent="0.3">
      <c r="A226" s="8"/>
    </row>
    <row r="227" spans="1:1" x14ac:dyDescent="0.3">
      <c r="A227" s="8"/>
    </row>
    <row r="228" spans="1:1" x14ac:dyDescent="0.3">
      <c r="A228" s="8"/>
    </row>
    <row r="229" spans="1:1" x14ac:dyDescent="0.3">
      <c r="A229" s="8"/>
    </row>
    <row r="230" spans="1:1" x14ac:dyDescent="0.3">
      <c r="A230" s="8"/>
    </row>
    <row r="231" spans="1:1" x14ac:dyDescent="0.3">
      <c r="A231" s="8"/>
    </row>
    <row r="232" spans="1:1" x14ac:dyDescent="0.3">
      <c r="A232" s="8"/>
    </row>
    <row r="233" spans="1:1" x14ac:dyDescent="0.3">
      <c r="A233" s="8"/>
    </row>
    <row r="234" spans="1:1" x14ac:dyDescent="0.3">
      <c r="A234" s="8"/>
    </row>
    <row r="235" spans="1:1" x14ac:dyDescent="0.3">
      <c r="A235" s="8"/>
    </row>
    <row r="236" spans="1:1" x14ac:dyDescent="0.3">
      <c r="A236" s="8"/>
    </row>
    <row r="237" spans="1:1" x14ac:dyDescent="0.3">
      <c r="A237" s="8"/>
    </row>
    <row r="238" spans="1:1" x14ac:dyDescent="0.3">
      <c r="A238" s="8"/>
    </row>
    <row r="239" spans="1:1" x14ac:dyDescent="0.3">
      <c r="A239" s="8"/>
    </row>
    <row r="240" spans="1:1" x14ac:dyDescent="0.3">
      <c r="A240" s="8"/>
    </row>
    <row r="241" spans="1:1" x14ac:dyDescent="0.3">
      <c r="A241" s="8"/>
    </row>
    <row r="242" spans="1:1" x14ac:dyDescent="0.3">
      <c r="A242" s="8"/>
    </row>
    <row r="243" spans="1:1" x14ac:dyDescent="0.3">
      <c r="A243" s="8"/>
    </row>
    <row r="244" spans="1:1" x14ac:dyDescent="0.3">
      <c r="A244" s="8"/>
    </row>
    <row r="245" spans="1:1" x14ac:dyDescent="0.3">
      <c r="A245" s="8"/>
    </row>
    <row r="246" spans="1:1" x14ac:dyDescent="0.3">
      <c r="A246" s="8"/>
    </row>
    <row r="247" spans="1:1" x14ac:dyDescent="0.3">
      <c r="A247" s="8"/>
    </row>
    <row r="248" spans="1:1" x14ac:dyDescent="0.3">
      <c r="A248" s="8"/>
    </row>
    <row r="249" spans="1:1" x14ac:dyDescent="0.3">
      <c r="A249" s="8"/>
    </row>
    <row r="250" spans="1:1" x14ac:dyDescent="0.3">
      <c r="A250" s="8"/>
    </row>
    <row r="251" spans="1:1" x14ac:dyDescent="0.3">
      <c r="A251" s="8"/>
    </row>
    <row r="252" spans="1:1" x14ac:dyDescent="0.3">
      <c r="A252" s="8"/>
    </row>
    <row r="253" spans="1:1" x14ac:dyDescent="0.3">
      <c r="A253" s="8"/>
    </row>
  </sheetData>
  <mergeCells count="4">
    <mergeCell ref="A6:D6"/>
    <mergeCell ref="A12:D12"/>
    <mergeCell ref="A17:D17"/>
    <mergeCell ref="A7:D7"/>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4"/>
  <sheetViews>
    <sheetView tabSelected="1" topLeftCell="A5" zoomScale="62" zoomScaleNormal="62" workbookViewId="0">
      <selection activeCell="Y34" sqref="Y34"/>
    </sheetView>
  </sheetViews>
  <sheetFormatPr defaultRowHeight="14.4" x14ac:dyDescent="0.3"/>
  <cols>
    <col min="11" max="11" width="8.44140625" customWidth="1"/>
    <col min="22" max="22" width="22.44140625" customWidth="1"/>
  </cols>
  <sheetData>
    <row r="1" spans="1:28" ht="3" hidden="1" customHeight="1" x14ac:dyDescent="0.3">
      <c r="A1" s="42"/>
      <c r="B1" s="42"/>
      <c r="C1" s="42"/>
      <c r="D1" s="42"/>
      <c r="E1" s="42"/>
      <c r="F1" s="42"/>
      <c r="G1" s="42"/>
      <c r="H1" s="42"/>
      <c r="I1" s="42"/>
      <c r="J1" s="42"/>
      <c r="K1" s="42"/>
      <c r="L1" s="42"/>
      <c r="M1" s="2"/>
      <c r="N1" s="2"/>
      <c r="O1" s="2"/>
      <c r="P1" s="2"/>
      <c r="Q1" s="2"/>
      <c r="R1" s="2"/>
      <c r="S1" s="2"/>
      <c r="T1" s="2"/>
      <c r="U1" s="1"/>
      <c r="V1" s="1"/>
    </row>
    <row r="2" spans="1:28" hidden="1" x14ac:dyDescent="0.3">
      <c r="A2" s="43"/>
      <c r="B2" s="43"/>
      <c r="C2" s="43"/>
      <c r="D2" s="43"/>
      <c r="E2" s="43"/>
      <c r="F2" s="43"/>
      <c r="G2" s="43"/>
      <c r="H2" s="43"/>
      <c r="I2" s="43"/>
      <c r="J2" s="43"/>
      <c r="K2" s="43"/>
      <c r="L2" s="43"/>
      <c r="M2" s="43"/>
      <c r="N2" s="43"/>
      <c r="O2" s="43"/>
      <c r="P2" s="43"/>
      <c r="Q2" s="43"/>
      <c r="R2" s="43"/>
      <c r="S2" s="43"/>
      <c r="T2" s="43"/>
      <c r="U2" s="43"/>
      <c r="V2" s="43"/>
    </row>
    <row r="3" spans="1:28" ht="21.6" hidden="1" customHeight="1" x14ac:dyDescent="0.3">
      <c r="A3" s="43"/>
      <c r="B3" s="43"/>
      <c r="C3" s="43"/>
      <c r="D3" s="43"/>
      <c r="E3" s="43"/>
      <c r="F3" s="43"/>
      <c r="G3" s="43"/>
      <c r="H3" s="43"/>
      <c r="I3" s="43"/>
      <c r="J3" s="43"/>
      <c r="K3" s="43"/>
      <c r="L3" s="43"/>
      <c r="M3" s="43"/>
      <c r="N3" s="43"/>
      <c r="O3" s="43"/>
      <c r="P3" s="43"/>
      <c r="Q3" s="43"/>
      <c r="R3" s="43"/>
      <c r="S3" s="43"/>
      <c r="T3" s="43"/>
      <c r="U3" s="43"/>
      <c r="V3" s="43"/>
    </row>
    <row r="4" spans="1:28" ht="89.4" customHeight="1" x14ac:dyDescent="0.3">
      <c r="A4" s="35"/>
      <c r="B4" s="35"/>
      <c r="C4" s="35"/>
      <c r="D4" s="35"/>
      <c r="E4" s="35"/>
      <c r="F4" s="35"/>
      <c r="G4" s="35"/>
      <c r="H4" s="35"/>
      <c r="I4" s="35"/>
      <c r="J4" s="35"/>
      <c r="K4" s="35"/>
      <c r="L4" s="35"/>
      <c r="M4" s="35"/>
      <c r="N4" s="35"/>
      <c r="O4" s="35"/>
      <c r="P4" s="35"/>
      <c r="Q4" s="35"/>
      <c r="R4" s="35"/>
      <c r="S4" s="35"/>
      <c r="T4" s="35"/>
      <c r="U4" s="35"/>
      <c r="V4" s="35"/>
    </row>
    <row r="5" spans="1:28" x14ac:dyDescent="0.3">
      <c r="A5" s="36"/>
      <c r="B5" s="37"/>
      <c r="C5" s="37"/>
      <c r="D5" s="37"/>
      <c r="E5" s="37"/>
      <c r="F5" s="37"/>
      <c r="G5" s="37"/>
      <c r="H5" s="37"/>
      <c r="I5" s="37"/>
      <c r="J5" s="37"/>
      <c r="K5" s="37"/>
      <c r="L5" s="37"/>
      <c r="M5" s="37"/>
      <c r="N5" s="37"/>
      <c r="O5" s="37"/>
      <c r="P5" s="37"/>
      <c r="Q5" s="37"/>
      <c r="R5" s="37"/>
      <c r="S5" s="37"/>
      <c r="T5" s="37"/>
      <c r="U5" s="36"/>
      <c r="V5" s="36"/>
    </row>
    <row r="6" spans="1:28" x14ac:dyDescent="0.3">
      <c r="A6" s="36"/>
      <c r="B6" s="37"/>
      <c r="C6" s="37"/>
      <c r="D6" s="37"/>
      <c r="E6" s="37"/>
      <c r="F6" s="37"/>
      <c r="G6" s="37"/>
      <c r="H6" s="37"/>
      <c r="I6" s="37"/>
      <c r="J6" s="37"/>
      <c r="K6" s="37"/>
      <c r="L6" s="37"/>
      <c r="M6" s="37"/>
      <c r="N6" s="37"/>
      <c r="O6" s="37"/>
      <c r="P6" s="37"/>
      <c r="Q6" s="37"/>
      <c r="R6" s="37"/>
      <c r="S6" s="37"/>
      <c r="T6" s="37"/>
      <c r="U6" s="36"/>
      <c r="V6" s="36"/>
    </row>
    <row r="7" spans="1:28" x14ac:dyDescent="0.3">
      <c r="A7" s="36"/>
      <c r="B7" s="37"/>
      <c r="C7" s="37"/>
      <c r="D7" s="37"/>
      <c r="E7" s="37"/>
      <c r="F7" s="37"/>
      <c r="G7" s="37"/>
      <c r="H7" s="37"/>
      <c r="I7" s="37"/>
      <c r="J7" s="37"/>
      <c r="K7" s="37"/>
      <c r="L7" s="37"/>
      <c r="M7" s="37"/>
      <c r="N7" s="37"/>
      <c r="O7" s="37"/>
      <c r="P7" s="37"/>
      <c r="Q7" s="37"/>
      <c r="R7" s="37"/>
      <c r="S7" s="37"/>
      <c r="T7" s="37"/>
      <c r="U7" s="36"/>
      <c r="V7" s="36"/>
    </row>
    <row r="8" spans="1:28" x14ac:dyDescent="0.3">
      <c r="A8" s="36"/>
      <c r="B8" s="37"/>
      <c r="C8" s="37"/>
      <c r="D8" s="37"/>
      <c r="E8" s="37"/>
      <c r="F8" s="37"/>
      <c r="G8" s="37"/>
      <c r="H8" s="37"/>
      <c r="I8" s="37"/>
      <c r="J8" s="37"/>
      <c r="K8" s="37"/>
      <c r="L8" s="37"/>
      <c r="M8" s="37"/>
      <c r="N8" s="37"/>
      <c r="O8" s="37"/>
      <c r="P8" s="37"/>
      <c r="Q8" s="37"/>
      <c r="R8" s="37"/>
      <c r="S8" s="37"/>
      <c r="T8" s="37"/>
      <c r="U8" s="36"/>
      <c r="V8" s="36"/>
    </row>
    <row r="9" spans="1:28" x14ac:dyDescent="0.3">
      <c r="A9" s="36"/>
      <c r="B9" s="37"/>
      <c r="C9" s="37"/>
      <c r="D9" s="37"/>
      <c r="E9" s="37"/>
      <c r="F9" s="37"/>
      <c r="G9" s="37"/>
      <c r="H9" s="37"/>
      <c r="I9" s="37"/>
      <c r="J9" s="37"/>
      <c r="K9" s="37"/>
      <c r="L9" s="37"/>
      <c r="M9" s="37"/>
      <c r="N9" s="37"/>
      <c r="O9" s="37"/>
      <c r="P9" s="37"/>
      <c r="Q9" s="37"/>
      <c r="R9" s="37"/>
      <c r="S9" s="37"/>
      <c r="T9" s="37"/>
      <c r="U9" s="36"/>
      <c r="V9" s="36"/>
    </row>
    <row r="10" spans="1:28" x14ac:dyDescent="0.3">
      <c r="A10" s="36"/>
      <c r="B10" s="37"/>
      <c r="C10" s="37"/>
      <c r="D10" s="37"/>
      <c r="E10" s="37"/>
      <c r="F10" s="37"/>
      <c r="G10" s="37"/>
      <c r="H10" s="37"/>
      <c r="I10" s="37"/>
      <c r="J10" s="37"/>
      <c r="K10" s="37"/>
      <c r="L10" s="37"/>
      <c r="M10" s="37"/>
      <c r="N10" s="37"/>
      <c r="O10" s="37"/>
      <c r="P10" s="37"/>
      <c r="Q10" s="37"/>
      <c r="R10" s="37"/>
      <c r="S10" s="37"/>
      <c r="T10" s="37"/>
      <c r="U10" s="36"/>
      <c r="V10" s="36"/>
    </row>
    <row r="11" spans="1:28" x14ac:dyDescent="0.3">
      <c r="A11" s="36"/>
      <c r="B11" s="37"/>
      <c r="C11" s="37"/>
      <c r="D11" s="37"/>
      <c r="E11" s="37"/>
      <c r="F11" s="37"/>
      <c r="G11" s="37"/>
      <c r="H11" s="37"/>
      <c r="I11" s="37"/>
      <c r="J11" s="37"/>
      <c r="K11" s="37"/>
      <c r="L11" s="37"/>
      <c r="M11" s="37"/>
      <c r="N11" s="37"/>
      <c r="O11" s="37"/>
      <c r="P11" s="37"/>
      <c r="Q11" s="37"/>
      <c r="R11" s="37"/>
      <c r="S11" s="37"/>
      <c r="T11" s="37"/>
      <c r="U11" s="36"/>
      <c r="V11" s="36"/>
      <c r="Z11" s="29"/>
      <c r="AA11" s="29"/>
      <c r="AB11" s="29"/>
    </row>
    <row r="12" spans="1:28" x14ac:dyDescent="0.3">
      <c r="A12" s="36"/>
      <c r="B12" s="37"/>
      <c r="C12" s="37"/>
      <c r="D12" s="37"/>
      <c r="E12" s="37"/>
      <c r="F12" s="37"/>
      <c r="G12" s="37"/>
      <c r="H12" s="37"/>
      <c r="I12" s="37"/>
      <c r="J12" s="37"/>
      <c r="K12" s="37"/>
      <c r="L12" s="37"/>
      <c r="M12" s="37"/>
      <c r="N12" s="37"/>
      <c r="O12" s="37"/>
      <c r="P12" s="37"/>
      <c r="Q12" s="37"/>
      <c r="R12" s="37"/>
      <c r="S12" s="37"/>
      <c r="T12" s="37"/>
      <c r="U12" s="36"/>
      <c r="V12" s="36"/>
      <c r="Z12" s="29"/>
      <c r="AA12" s="29"/>
      <c r="AB12" s="29"/>
    </row>
    <row r="13" spans="1:28" x14ac:dyDescent="0.3">
      <c r="A13" s="36"/>
      <c r="B13" s="37"/>
      <c r="C13" s="37"/>
      <c r="D13" s="37"/>
      <c r="E13" s="37"/>
      <c r="F13" s="37"/>
      <c r="G13" s="37"/>
      <c r="H13" s="37"/>
      <c r="I13" s="37"/>
      <c r="J13" s="37"/>
      <c r="K13" s="37"/>
      <c r="L13" s="37"/>
      <c r="M13" s="37"/>
      <c r="N13" s="37"/>
      <c r="O13" s="37"/>
      <c r="P13" s="37"/>
      <c r="Q13" s="37"/>
      <c r="R13" s="37"/>
      <c r="S13" s="37"/>
      <c r="T13" s="37"/>
      <c r="U13" s="36"/>
      <c r="V13" s="36"/>
      <c r="Z13" s="29"/>
      <c r="AA13" s="29"/>
      <c r="AB13" s="29"/>
    </row>
    <row r="14" spans="1:28" x14ac:dyDescent="0.3">
      <c r="A14" s="36"/>
      <c r="B14" s="37"/>
      <c r="C14" s="37"/>
      <c r="D14" s="37"/>
      <c r="E14" s="37"/>
      <c r="F14" s="37"/>
      <c r="G14" s="37"/>
      <c r="H14" s="37"/>
      <c r="I14" s="37"/>
      <c r="J14" s="37"/>
      <c r="K14" s="37"/>
      <c r="L14" s="37"/>
      <c r="M14" s="37"/>
      <c r="N14" s="37"/>
      <c r="O14" s="37"/>
      <c r="P14" s="37"/>
      <c r="Q14" s="37"/>
      <c r="R14" s="37"/>
      <c r="S14" s="37"/>
      <c r="T14" s="37"/>
      <c r="U14" s="36"/>
      <c r="V14" s="36"/>
    </row>
    <row r="15" spans="1:28" x14ac:dyDescent="0.3">
      <c r="A15" s="36"/>
      <c r="B15" s="37"/>
      <c r="C15" s="37"/>
      <c r="D15" s="37"/>
      <c r="E15" s="37"/>
      <c r="F15" s="37"/>
      <c r="G15" s="37"/>
      <c r="H15" s="37"/>
      <c r="I15" s="37"/>
      <c r="J15" s="37"/>
      <c r="K15" s="37"/>
      <c r="L15" s="37"/>
      <c r="M15" s="37"/>
      <c r="N15" s="37"/>
      <c r="O15" s="37"/>
      <c r="P15" s="37"/>
      <c r="Q15" s="37"/>
      <c r="R15" s="37"/>
      <c r="S15" s="37"/>
      <c r="T15" s="37"/>
      <c r="U15" s="36"/>
      <c r="V15" s="36"/>
    </row>
    <row r="16" spans="1:28" x14ac:dyDescent="0.3">
      <c r="A16" s="36"/>
      <c r="B16" s="37"/>
      <c r="C16" s="37"/>
      <c r="D16" s="37"/>
      <c r="E16" s="37"/>
      <c r="F16" s="37"/>
      <c r="G16" s="37"/>
      <c r="H16" s="37"/>
      <c r="I16" s="37"/>
      <c r="J16" s="37"/>
      <c r="K16" s="37"/>
      <c r="L16" s="37"/>
      <c r="M16" s="37"/>
      <c r="N16" s="37"/>
      <c r="O16" s="37"/>
      <c r="P16" s="37"/>
      <c r="Q16" s="37"/>
      <c r="R16" s="37"/>
      <c r="S16" s="37"/>
      <c r="T16" s="37"/>
      <c r="U16" s="36"/>
      <c r="V16" s="36"/>
    </row>
    <row r="17" spans="1:22" x14ac:dyDescent="0.3">
      <c r="A17" s="36"/>
      <c r="B17" s="37"/>
      <c r="C17" s="37"/>
      <c r="D17" s="37"/>
      <c r="E17" s="37"/>
      <c r="F17" s="37"/>
      <c r="G17" s="37"/>
      <c r="H17" s="37"/>
      <c r="I17" s="37"/>
      <c r="J17" s="37"/>
      <c r="K17" s="37"/>
      <c r="L17" s="37"/>
      <c r="M17" s="37"/>
      <c r="N17" s="37"/>
      <c r="O17" s="37"/>
      <c r="P17" s="37"/>
      <c r="Q17" s="37"/>
      <c r="R17" s="37"/>
      <c r="S17" s="37"/>
      <c r="T17" s="37"/>
      <c r="U17" s="36"/>
      <c r="V17" s="36"/>
    </row>
    <row r="18" spans="1:22" x14ac:dyDescent="0.3">
      <c r="A18" s="36"/>
      <c r="B18" s="37"/>
      <c r="C18" s="37"/>
      <c r="D18" s="37"/>
      <c r="E18" s="37"/>
      <c r="F18" s="37"/>
      <c r="G18" s="37"/>
      <c r="H18" s="37"/>
      <c r="I18" s="37"/>
      <c r="J18" s="37"/>
      <c r="K18" s="37"/>
      <c r="L18" s="37"/>
      <c r="M18" s="37"/>
      <c r="N18" s="37"/>
      <c r="O18" s="37"/>
      <c r="P18" s="37"/>
      <c r="Q18" s="37"/>
      <c r="R18" s="37"/>
      <c r="S18" s="37"/>
      <c r="T18" s="37"/>
      <c r="U18" s="36"/>
      <c r="V18" s="36"/>
    </row>
    <row r="19" spans="1:22" x14ac:dyDescent="0.3">
      <c r="A19" s="36"/>
      <c r="B19" s="37"/>
      <c r="C19" s="37"/>
      <c r="D19" s="37"/>
      <c r="E19" s="37"/>
      <c r="F19" s="37"/>
      <c r="G19" s="37"/>
      <c r="H19" s="37"/>
      <c r="I19" s="37"/>
      <c r="J19" s="37"/>
      <c r="K19" s="37"/>
      <c r="L19" s="37"/>
      <c r="M19" s="37"/>
      <c r="N19" s="37"/>
      <c r="O19" s="37"/>
      <c r="P19" s="37"/>
      <c r="Q19" s="37"/>
      <c r="R19" s="37"/>
      <c r="S19" s="37"/>
      <c r="T19" s="37"/>
      <c r="U19" s="36"/>
      <c r="V19" s="36"/>
    </row>
    <row r="20" spans="1:22" x14ac:dyDescent="0.3">
      <c r="A20" s="36"/>
      <c r="B20" s="37"/>
      <c r="C20" s="37"/>
      <c r="D20" s="37"/>
      <c r="E20" s="37"/>
      <c r="F20" s="37"/>
      <c r="G20" s="37"/>
      <c r="H20" s="37"/>
      <c r="I20" s="37"/>
      <c r="J20" s="37"/>
      <c r="K20" s="37"/>
      <c r="L20" s="37"/>
      <c r="M20" s="37"/>
      <c r="N20" s="37"/>
      <c r="O20" s="37"/>
      <c r="P20" s="37"/>
      <c r="Q20" s="37"/>
      <c r="R20" s="37"/>
      <c r="S20" s="37"/>
      <c r="T20" s="37"/>
      <c r="U20" s="36"/>
      <c r="V20" s="36"/>
    </row>
    <row r="21" spans="1:22" x14ac:dyDescent="0.3">
      <c r="A21" s="36"/>
      <c r="B21" s="37"/>
      <c r="C21" s="37"/>
      <c r="D21" s="37"/>
      <c r="E21" s="37"/>
      <c r="F21" s="37"/>
      <c r="G21" s="37"/>
      <c r="H21" s="37"/>
      <c r="I21" s="37"/>
      <c r="J21" s="37"/>
      <c r="K21" s="37"/>
      <c r="L21" s="36"/>
      <c r="M21" s="36"/>
      <c r="N21" s="36"/>
      <c r="O21" s="36"/>
      <c r="P21" s="36"/>
      <c r="Q21" s="36"/>
      <c r="R21" s="36"/>
      <c r="S21" s="36"/>
      <c r="T21" s="36"/>
      <c r="U21" s="36"/>
      <c r="V21" s="36"/>
    </row>
    <row r="22" spans="1:22" x14ac:dyDescent="0.3">
      <c r="A22" s="36"/>
      <c r="B22" s="37"/>
      <c r="C22" s="37"/>
      <c r="D22" s="37"/>
      <c r="E22" s="37"/>
      <c r="F22" s="37"/>
      <c r="G22" s="37"/>
      <c r="H22" s="37"/>
      <c r="I22" s="37"/>
      <c r="J22" s="37"/>
      <c r="K22" s="37"/>
      <c r="L22" s="37"/>
      <c r="M22" s="37"/>
      <c r="N22" s="37"/>
      <c r="O22" s="37"/>
      <c r="P22" s="37"/>
      <c r="Q22" s="37"/>
      <c r="R22" s="37"/>
      <c r="S22" s="37"/>
      <c r="T22" s="37"/>
      <c r="U22" s="36"/>
      <c r="V22" s="36"/>
    </row>
    <row r="23" spans="1:22" x14ac:dyDescent="0.3">
      <c r="A23" s="36"/>
      <c r="B23" s="37"/>
      <c r="C23" s="37"/>
      <c r="D23" s="37"/>
      <c r="E23" s="37"/>
      <c r="F23" s="37"/>
      <c r="G23" s="37"/>
      <c r="H23" s="37"/>
      <c r="I23" s="37"/>
      <c r="J23" s="37"/>
      <c r="K23" s="37"/>
      <c r="L23" s="37"/>
      <c r="M23" s="37"/>
      <c r="N23" s="37"/>
      <c r="O23" s="37"/>
      <c r="P23" s="37"/>
      <c r="Q23" s="37"/>
      <c r="R23" s="37"/>
      <c r="S23" s="37"/>
      <c r="T23" s="37"/>
      <c r="U23" s="36"/>
      <c r="V23" s="36"/>
    </row>
    <row r="24" spans="1:22" x14ac:dyDescent="0.3">
      <c r="A24" s="36"/>
      <c r="B24" s="37"/>
      <c r="C24" s="37"/>
      <c r="D24" s="37"/>
      <c r="E24" s="37"/>
      <c r="F24" s="37"/>
      <c r="G24" s="37"/>
      <c r="H24" s="37"/>
      <c r="I24" s="37"/>
      <c r="J24" s="37"/>
      <c r="K24" s="37"/>
      <c r="L24" s="37"/>
      <c r="M24" s="37"/>
      <c r="N24" s="37"/>
      <c r="O24" s="37"/>
      <c r="P24" s="37"/>
      <c r="Q24" s="37"/>
      <c r="R24" s="37"/>
      <c r="S24" s="37"/>
      <c r="T24" s="37"/>
      <c r="U24" s="36"/>
      <c r="V24" s="36"/>
    </row>
    <row r="25" spans="1:22" x14ac:dyDescent="0.3">
      <c r="A25" s="36"/>
      <c r="B25" s="37"/>
      <c r="C25" s="37"/>
      <c r="D25" s="37"/>
      <c r="E25" s="37"/>
      <c r="F25" s="37"/>
      <c r="G25" s="37"/>
      <c r="H25" s="37"/>
      <c r="I25" s="37"/>
      <c r="J25" s="37"/>
      <c r="K25" s="37"/>
      <c r="L25" s="37"/>
      <c r="M25" s="37"/>
      <c r="N25" s="37"/>
      <c r="O25" s="37"/>
      <c r="P25" s="37"/>
      <c r="Q25" s="37"/>
      <c r="R25" s="37"/>
      <c r="S25" s="37"/>
      <c r="T25" s="37"/>
      <c r="U25" s="36"/>
      <c r="V25" s="36"/>
    </row>
    <row r="26" spans="1:22" x14ac:dyDescent="0.3">
      <c r="A26" s="36"/>
      <c r="B26" s="37"/>
      <c r="C26" s="37"/>
      <c r="D26" s="37"/>
      <c r="E26" s="37"/>
      <c r="F26" s="37"/>
      <c r="G26" s="37"/>
      <c r="H26" s="37"/>
      <c r="I26" s="37"/>
      <c r="J26" s="37"/>
      <c r="K26" s="37"/>
      <c r="L26" s="37"/>
      <c r="M26" s="37"/>
      <c r="N26" s="37"/>
      <c r="O26" s="37"/>
      <c r="P26" s="37"/>
      <c r="Q26" s="37"/>
      <c r="R26" s="37"/>
      <c r="S26" s="37"/>
      <c r="T26" s="37"/>
      <c r="U26" s="36"/>
      <c r="V26" s="36"/>
    </row>
    <row r="27" spans="1:22" x14ac:dyDescent="0.3">
      <c r="A27" s="36"/>
      <c r="B27" s="37"/>
      <c r="C27" s="37"/>
      <c r="D27" s="37"/>
      <c r="E27" s="37"/>
      <c r="F27" s="37"/>
      <c r="G27" s="37"/>
      <c r="H27" s="37"/>
      <c r="I27" s="37"/>
      <c r="J27" s="37"/>
      <c r="K27" s="37"/>
      <c r="L27" s="37"/>
      <c r="M27" s="37"/>
      <c r="N27" s="37"/>
      <c r="O27" s="37"/>
      <c r="P27" s="37"/>
      <c r="Q27" s="37"/>
      <c r="R27" s="37"/>
      <c r="S27" s="37"/>
      <c r="T27" s="37"/>
      <c r="U27" s="36"/>
      <c r="V27" s="36"/>
    </row>
    <row r="28" spans="1:22" x14ac:dyDescent="0.3">
      <c r="A28" s="36"/>
      <c r="B28" s="37"/>
      <c r="C28" s="37"/>
      <c r="D28" s="37"/>
      <c r="E28" s="37"/>
      <c r="F28" s="37"/>
      <c r="G28" s="37"/>
      <c r="H28" s="37"/>
      <c r="I28" s="37"/>
      <c r="J28" s="37"/>
      <c r="K28" s="37"/>
      <c r="L28" s="37"/>
      <c r="M28" s="37"/>
      <c r="N28" s="37"/>
      <c r="O28" s="37"/>
      <c r="P28" s="37"/>
      <c r="Q28" s="37"/>
      <c r="R28" s="37"/>
      <c r="S28" s="37"/>
      <c r="T28" s="37"/>
      <c r="U28" s="36"/>
      <c r="V28" s="36"/>
    </row>
    <row r="29" spans="1:22" x14ac:dyDescent="0.3">
      <c r="A29" s="36"/>
      <c r="B29" s="37"/>
      <c r="C29" s="37"/>
      <c r="D29" s="37"/>
      <c r="E29" s="37"/>
      <c r="F29" s="37"/>
      <c r="G29" s="37"/>
      <c r="H29" s="37"/>
      <c r="I29" s="37"/>
      <c r="J29" s="37"/>
      <c r="K29" s="37"/>
      <c r="L29" s="37"/>
      <c r="M29" s="37"/>
      <c r="N29" s="37"/>
      <c r="O29" s="37"/>
      <c r="P29" s="37"/>
      <c r="Q29" s="37"/>
      <c r="R29" s="37"/>
      <c r="S29" s="37"/>
      <c r="T29" s="37"/>
      <c r="U29" s="36"/>
      <c r="V29" s="36"/>
    </row>
    <row r="30" spans="1:22" x14ac:dyDescent="0.3">
      <c r="A30" s="36"/>
      <c r="B30" s="37"/>
      <c r="C30" s="37"/>
      <c r="D30" s="37"/>
      <c r="E30" s="37"/>
      <c r="F30" s="37"/>
      <c r="G30" s="37"/>
      <c r="H30" s="37"/>
      <c r="I30" s="37"/>
      <c r="J30" s="37"/>
      <c r="K30" s="37"/>
      <c r="L30" s="37"/>
      <c r="M30" s="37"/>
      <c r="N30" s="37"/>
      <c r="O30" s="37"/>
      <c r="P30" s="37"/>
      <c r="Q30" s="37"/>
      <c r="R30" s="37"/>
      <c r="S30" s="37"/>
      <c r="T30" s="37"/>
      <c r="U30" s="36"/>
      <c r="V30" s="36"/>
    </row>
    <row r="31" spans="1:22" x14ac:dyDescent="0.3">
      <c r="A31" s="36"/>
      <c r="B31" s="37"/>
      <c r="C31" s="37"/>
      <c r="D31" s="37"/>
      <c r="E31" s="37"/>
      <c r="F31" s="37"/>
      <c r="G31" s="37"/>
      <c r="H31" s="37"/>
      <c r="I31" s="37"/>
      <c r="J31" s="37"/>
      <c r="K31" s="37"/>
      <c r="L31" s="37"/>
      <c r="M31" s="37"/>
      <c r="N31" s="37"/>
      <c r="O31" s="37"/>
      <c r="P31" s="37"/>
      <c r="Q31" s="37"/>
      <c r="R31" s="37"/>
      <c r="S31" s="37"/>
      <c r="T31" s="37"/>
      <c r="U31" s="36"/>
      <c r="V31" s="36"/>
    </row>
    <row r="32" spans="1:22" x14ac:dyDescent="0.3">
      <c r="A32" s="36"/>
      <c r="B32" s="36"/>
      <c r="C32" s="36"/>
      <c r="D32" s="36"/>
      <c r="E32" s="36"/>
      <c r="F32" s="36"/>
      <c r="G32" s="36"/>
      <c r="H32" s="36"/>
      <c r="I32" s="36"/>
      <c r="J32" s="36"/>
      <c r="K32" s="36"/>
      <c r="L32" s="36"/>
      <c r="M32" s="36"/>
      <c r="N32" s="36"/>
      <c r="O32" s="36"/>
      <c r="P32" s="36"/>
      <c r="Q32" s="36"/>
      <c r="R32" s="36"/>
      <c r="S32" s="36"/>
      <c r="T32" s="36"/>
      <c r="U32" s="36"/>
      <c r="V32" s="36"/>
    </row>
    <row r="33" spans="1:22" x14ac:dyDescent="0.3">
      <c r="A33" s="36"/>
      <c r="B33" s="36"/>
      <c r="C33" s="36"/>
      <c r="D33" s="36"/>
      <c r="E33" s="36"/>
      <c r="F33" s="36"/>
      <c r="G33" s="36"/>
      <c r="H33" s="36"/>
      <c r="I33" s="36"/>
      <c r="J33" s="36"/>
      <c r="K33" s="36"/>
      <c r="L33" s="36"/>
      <c r="M33" s="36"/>
      <c r="N33" s="36"/>
      <c r="O33" s="36"/>
      <c r="P33" s="36"/>
      <c r="Q33" s="36"/>
      <c r="R33" s="36"/>
      <c r="S33" s="36"/>
      <c r="T33" s="36"/>
      <c r="U33" s="36"/>
      <c r="V33" s="36"/>
    </row>
    <row r="34" spans="1:22" x14ac:dyDescent="0.3">
      <c r="A34" s="36"/>
      <c r="B34" s="36"/>
      <c r="C34" s="36"/>
      <c r="D34" s="36"/>
      <c r="E34" s="36"/>
      <c r="F34" s="36"/>
      <c r="G34" s="36"/>
      <c r="H34" s="36"/>
      <c r="I34" s="36"/>
      <c r="J34" s="36"/>
      <c r="K34" s="36"/>
      <c r="L34" s="36"/>
      <c r="M34" s="36"/>
      <c r="N34" s="36"/>
      <c r="O34" s="36"/>
      <c r="P34" s="36"/>
      <c r="Q34" s="36"/>
      <c r="R34" s="36"/>
      <c r="S34" s="36"/>
      <c r="T34" s="36"/>
      <c r="U34" s="36"/>
      <c r="V34" s="36"/>
    </row>
    <row r="35" spans="1:22" x14ac:dyDescent="0.3">
      <c r="A35" s="36"/>
      <c r="B35" s="36"/>
      <c r="C35" s="36"/>
      <c r="D35" s="36"/>
      <c r="E35" s="36"/>
      <c r="F35" s="36"/>
      <c r="G35" s="36"/>
      <c r="H35" s="36"/>
      <c r="I35" s="36"/>
      <c r="J35" s="36"/>
      <c r="K35" s="36"/>
      <c r="L35" s="36"/>
      <c r="M35" s="36"/>
      <c r="N35" s="36"/>
      <c r="O35" s="36"/>
      <c r="P35" s="36"/>
      <c r="Q35" s="36"/>
      <c r="R35" s="36"/>
      <c r="S35" s="36"/>
      <c r="T35" s="36"/>
      <c r="U35" s="36"/>
      <c r="V35" s="36"/>
    </row>
    <row r="36" spans="1:22" x14ac:dyDescent="0.3">
      <c r="A36" s="36"/>
      <c r="B36" s="36"/>
      <c r="C36" s="36"/>
      <c r="D36" s="36"/>
      <c r="E36" s="36"/>
      <c r="F36" s="36"/>
      <c r="G36" s="36"/>
      <c r="H36" s="36"/>
      <c r="I36" s="36"/>
      <c r="J36" s="36"/>
      <c r="K36" s="36"/>
      <c r="L36" s="36"/>
      <c r="M36" s="36"/>
      <c r="N36" s="36"/>
      <c r="O36" s="36"/>
      <c r="P36" s="36"/>
      <c r="Q36" s="36"/>
      <c r="R36" s="36"/>
      <c r="S36" s="36"/>
      <c r="T36" s="36"/>
      <c r="U36" s="36"/>
      <c r="V36" s="36"/>
    </row>
    <row r="37" spans="1:22" x14ac:dyDescent="0.3">
      <c r="A37" s="36"/>
      <c r="B37" s="36"/>
      <c r="C37" s="36"/>
      <c r="D37" s="36"/>
      <c r="E37" s="36"/>
      <c r="F37" s="36"/>
      <c r="G37" s="36"/>
      <c r="H37" s="36"/>
      <c r="I37" s="36"/>
      <c r="J37" s="36"/>
      <c r="K37" s="36"/>
      <c r="L37" s="36"/>
      <c r="M37" s="36"/>
      <c r="N37" s="36"/>
      <c r="O37" s="36"/>
      <c r="P37" s="36"/>
      <c r="Q37" s="36"/>
      <c r="R37" s="36"/>
      <c r="S37" s="36"/>
      <c r="T37" s="36"/>
      <c r="U37" s="36"/>
      <c r="V37" s="36"/>
    </row>
    <row r="38" spans="1:22" x14ac:dyDescent="0.3">
      <c r="A38" s="36"/>
      <c r="B38" s="36"/>
      <c r="C38" s="36"/>
      <c r="D38" s="36"/>
      <c r="E38" s="36"/>
      <c r="F38" s="36"/>
      <c r="G38" s="36"/>
      <c r="H38" s="36"/>
      <c r="I38" s="36"/>
      <c r="J38" s="36"/>
      <c r="K38" s="36"/>
      <c r="L38" s="36"/>
      <c r="M38" s="36"/>
      <c r="N38" s="36"/>
      <c r="O38" s="36"/>
      <c r="P38" s="36"/>
      <c r="Q38" s="36"/>
      <c r="R38" s="36"/>
      <c r="S38" s="36"/>
      <c r="T38" s="36"/>
      <c r="U38" s="36"/>
      <c r="V38" s="36"/>
    </row>
    <row r="39" spans="1:22" x14ac:dyDescent="0.3">
      <c r="A39" s="36"/>
      <c r="B39" s="36"/>
      <c r="C39" s="36"/>
      <c r="D39" s="36"/>
      <c r="E39" s="36"/>
      <c r="F39" s="36"/>
      <c r="G39" s="36"/>
      <c r="H39" s="36"/>
      <c r="I39" s="36"/>
      <c r="J39" s="36"/>
      <c r="K39" s="36"/>
      <c r="L39" s="36"/>
      <c r="M39" s="36"/>
      <c r="N39" s="36"/>
      <c r="O39" s="36"/>
      <c r="P39" s="36"/>
      <c r="Q39" s="36"/>
      <c r="R39" s="36"/>
      <c r="S39" s="36"/>
      <c r="T39" s="36"/>
      <c r="U39" s="36"/>
      <c r="V39" s="36"/>
    </row>
    <row r="40" spans="1:22" x14ac:dyDescent="0.3">
      <c r="A40" s="36"/>
      <c r="B40" s="36"/>
      <c r="C40" s="36"/>
      <c r="D40" s="36"/>
      <c r="E40" s="36"/>
      <c r="F40" s="36"/>
      <c r="G40" s="36"/>
      <c r="H40" s="36"/>
      <c r="I40" s="36"/>
      <c r="J40" s="36"/>
      <c r="K40" s="36"/>
      <c r="L40" s="36"/>
      <c r="M40" s="36"/>
      <c r="N40" s="36"/>
      <c r="O40" s="36"/>
      <c r="P40" s="36"/>
      <c r="Q40" s="36"/>
      <c r="R40" s="36"/>
      <c r="S40" s="36"/>
      <c r="T40" s="36"/>
      <c r="U40" s="36"/>
      <c r="V40" s="36"/>
    </row>
    <row r="41" spans="1:22" x14ac:dyDescent="0.3">
      <c r="A41" s="36"/>
      <c r="B41" s="36"/>
      <c r="C41" s="36"/>
      <c r="D41" s="36"/>
      <c r="E41" s="36"/>
      <c r="F41" s="36"/>
      <c r="G41" s="36"/>
      <c r="H41" s="36"/>
      <c r="I41" s="36"/>
      <c r="J41" s="36"/>
      <c r="K41" s="36"/>
      <c r="L41" s="36"/>
      <c r="M41" s="36"/>
      <c r="N41" s="36"/>
      <c r="O41" s="36"/>
      <c r="P41" s="36"/>
      <c r="Q41" s="36"/>
      <c r="R41" s="36"/>
      <c r="S41" s="36"/>
      <c r="T41" s="36"/>
      <c r="U41" s="36"/>
      <c r="V41" s="36"/>
    </row>
    <row r="42" spans="1:22" x14ac:dyDescent="0.3">
      <c r="A42" s="36"/>
      <c r="B42" s="36"/>
      <c r="C42" s="36"/>
      <c r="D42" s="36"/>
      <c r="E42" s="36"/>
      <c r="F42" s="36"/>
      <c r="G42" s="36"/>
      <c r="H42" s="36"/>
      <c r="I42" s="36"/>
      <c r="J42" s="36"/>
      <c r="K42" s="36"/>
      <c r="L42" s="36"/>
      <c r="M42" s="36"/>
      <c r="N42" s="36"/>
      <c r="O42" s="36"/>
      <c r="P42" s="36"/>
      <c r="Q42" s="36"/>
      <c r="R42" s="36"/>
      <c r="S42" s="36"/>
      <c r="T42" s="36"/>
      <c r="U42" s="36"/>
      <c r="V42" s="36"/>
    </row>
    <row r="43" spans="1:22" x14ac:dyDescent="0.3">
      <c r="A43" s="36"/>
      <c r="B43" s="36"/>
      <c r="C43" s="36"/>
      <c r="D43" s="36"/>
      <c r="E43" s="36"/>
      <c r="F43" s="36"/>
      <c r="G43" s="36"/>
      <c r="H43" s="36"/>
      <c r="I43" s="36"/>
      <c r="J43" s="36"/>
      <c r="K43" s="36"/>
      <c r="L43" s="36"/>
      <c r="M43" s="36"/>
      <c r="N43" s="36"/>
      <c r="O43" s="36"/>
      <c r="P43" s="36"/>
      <c r="Q43" s="36"/>
      <c r="R43" s="36"/>
      <c r="S43" s="36"/>
      <c r="T43" s="36"/>
      <c r="U43" s="36"/>
      <c r="V43" s="36"/>
    </row>
    <row r="44" spans="1:22" ht="155.4" customHeight="1" x14ac:dyDescent="0.3">
      <c r="A44" s="36"/>
      <c r="B44" s="36"/>
      <c r="C44" s="36"/>
      <c r="D44" s="36"/>
      <c r="E44" s="36"/>
      <c r="F44" s="36"/>
      <c r="G44" s="36"/>
      <c r="H44" s="36"/>
      <c r="I44" s="36"/>
      <c r="J44" s="36"/>
      <c r="K44" s="36"/>
      <c r="L44" s="36"/>
      <c r="M44" s="36"/>
      <c r="N44" s="36"/>
      <c r="O44" s="36"/>
      <c r="P44" s="36"/>
      <c r="Q44" s="36"/>
      <c r="R44" s="36"/>
      <c r="S44" s="36"/>
      <c r="T44" s="36"/>
      <c r="U44" s="36"/>
      <c r="V44" s="36"/>
    </row>
  </sheetData>
  <mergeCells count="2">
    <mergeCell ref="A1:L1"/>
    <mergeCell ref="A2:V3"/>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Pivot Table 2</vt:lpstr>
      <vt:lpstr>Pivot Table 1</vt:lpstr>
      <vt:lpstr>Pivot Table 3</vt:lpstr>
      <vt:lpstr>Pivot Table 4</vt:lpstr>
      <vt:lpstr>Pivot Table 6</vt:lpstr>
      <vt:lpstr>Pivot Table 5</vt:lpstr>
      <vt:lpstr>Clean Data</vt:lpstr>
      <vt:lpstr>Excel Analysis</vt:lpstr>
      <vt:lpstr>Excel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dc:creator>
  <cp:lastModifiedBy>Yash</cp:lastModifiedBy>
  <dcterms:created xsi:type="dcterms:W3CDTF">2026-10-22T08:32:49Z</dcterms:created>
  <dcterms:modified xsi:type="dcterms:W3CDTF">2026-10-27T14:16:48Z</dcterms:modified>
</cp:coreProperties>
</file>